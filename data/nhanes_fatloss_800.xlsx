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540"/>
  </bookViews>
  <sheets>
    <sheet name="nhanes_fatloss_sample_800_2021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<sst xmlns="http://schemas.openxmlformats.org/spreadsheetml/2006/main" count="1616" uniqueCount="22">
  <si>
    <t>participant_id</t>
  </si>
  <si>
    <t>age_years</t>
  </si>
  <si>
    <t>sex</t>
  </si>
  <si>
    <t>height_cm</t>
  </si>
  <si>
    <t>weight_kg</t>
  </si>
  <si>
    <t>daily_kcal</t>
  </si>
  <si>
    <t>activity_level</t>
  </si>
  <si>
    <t>activity_factor</t>
  </si>
  <si>
    <t>height_m</t>
  </si>
  <si>
    <t>bmi</t>
  </si>
  <si>
    <t>label</t>
  </si>
  <si>
    <t>BMR</t>
  </si>
  <si>
    <t>TDEE</t>
  </si>
  <si>
    <t>deficit</t>
  </si>
  <si>
    <t>deficit_min</t>
  </si>
  <si>
    <t>deficit_max</t>
  </si>
  <si>
    <t>male</t>
  </si>
  <si>
    <t>low</t>
  </si>
  <si>
    <t>female</t>
  </si>
  <si>
    <t>sedentary</t>
  </si>
  <si>
    <t>moderate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</si>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</sst>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"/>
  </numFmts>
  <fonts count="19">
    <font>
      <sz val="11"/>
      <color theme="1"/>
      <name val="宋体"/>
      <charset val="134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rgb="FFFFFFFF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Font="1" applyFill="1" applyBorder="1" applyAlignment="1">
      <alignment vertical="center"/>
    </xf>
    <xf numFmtId="11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01"/>
  <sheetViews>
    <sheetView tabSelected="1" workbookViewId="0">
      <selection activeCell="H1" sqref="H$1:H$1048576"/>
    </sheetView>
  </sheetViews>
  <sheetFormatPr defaultColWidth="10.3846153846154" defaultRowHeight="16.8"/>
  <cols>
    <col min="1" max="1" width="32.375" style="1" customWidth="1"/>
    <col min="2" max="6" width="10.3846153846154" style="1"/>
    <col min="7" max="7" width="17.7884615384615" style="1" customWidth="1"/>
    <col min="8" max="8" width="17.1442307692308" style="1" customWidth="1"/>
    <col min="9" max="9" width="10.3846153846154" style="1"/>
    <col min="10" max="10" width="12.9230769230769" style="1"/>
    <col min="11" max="16384" width="10.3846153846154" style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s="1">
        <v>1</v>
      </c>
      <c r="B2" s="1">
        <v>34</v>
      </c>
      <c r="C2" s="1" t="s">
        <v>16</v>
      </c>
      <c r="D2" s="1">
        <v>173.3</v>
      </c>
      <c r="E2" s="1">
        <v>90.6</v>
      </c>
      <c r="F2" s="1">
        <v>2422</v>
      </c>
      <c r="G2" s="1" t="s">
        <v>17</v>
      </c>
      <c r="H2" s="1">
        <v>1.375</v>
      </c>
      <c r="I2" s="1">
        <v>1.733</v>
      </c>
      <c r="J2" s="1">
        <v>30.166926992374</v>
      </c>
      <c r="K2" t="str">
        <f t="shared" ref="K2:K65" si="0">IF(N2&lt;=0,"没有热量缺口",IF(N2&lt;O2,"缺口过小",IF(N2&lt;=P2,"缺口合适","缺口过大")))</f>
        <v>缺口过小</v>
      </c>
      <c r="L2" s="2">
        <f t="shared" ref="L2:L65" si="1">IF(C2="male",10*E2+6.25*D2-5*B2+5,10*E2+6.25*D2-5*B2-161)</f>
        <v>1824.125</v>
      </c>
      <c r="M2" s="2">
        <f t="shared" ref="M2:M65" si="2">L2*H2</f>
        <v>2508.171875</v>
      </c>
      <c r="N2" s="2">
        <f t="shared" ref="N2:N65" si="3">M2-F2</f>
        <v>86.171875</v>
      </c>
      <c r="O2" s="2">
        <f t="shared" ref="O2:O65" si="4">E2*0.005*7700/7</f>
        <v>498.3</v>
      </c>
      <c r="P2" s="2">
        <f t="shared" ref="P2:P65" si="5">E2*0.01*7700/7</f>
        <v>996.6</v>
      </c>
    </row>
    <row r="3" spans="1:16">
      <c r="A3" s="1">
        <v>2</v>
      </c>
      <c r="B3" s="1">
        <v>31</v>
      </c>
      <c r="C3" s="1" t="s">
        <v>18</v>
      </c>
      <c r="D3" s="1">
        <v>163.3</v>
      </c>
      <c r="E3" s="1">
        <v>122.7</v>
      </c>
      <c r="F3" s="1">
        <v>1643</v>
      </c>
      <c r="G3" s="1" t="s">
        <v>17</v>
      </c>
      <c r="H3" s="1">
        <v>1.375</v>
      </c>
      <c r="I3" s="1">
        <v>1.633</v>
      </c>
      <c r="J3" s="1">
        <v>46.0121146485398</v>
      </c>
      <c r="K3" t="str">
        <f t="shared" si="0"/>
        <v>缺口合适</v>
      </c>
      <c r="L3" s="2">
        <f t="shared" si="1"/>
        <v>1931.625</v>
      </c>
      <c r="M3" s="2">
        <f t="shared" si="2"/>
        <v>2655.984375</v>
      </c>
      <c r="N3" s="2">
        <f t="shared" si="3"/>
        <v>1012.984375</v>
      </c>
      <c r="O3" s="2">
        <f t="shared" si="4"/>
        <v>674.85</v>
      </c>
      <c r="P3" s="2">
        <f t="shared" si="5"/>
        <v>1349.7</v>
      </c>
    </row>
    <row r="4" spans="1:16">
      <c r="A4" s="1">
        <v>3</v>
      </c>
      <c r="B4" s="1">
        <v>26</v>
      </c>
      <c r="C4" s="1" t="s">
        <v>16</v>
      </c>
      <c r="D4" s="1">
        <v>160.3</v>
      </c>
      <c r="E4" s="1">
        <v>73.6</v>
      </c>
      <c r="F4" s="1">
        <v>1278</v>
      </c>
      <c r="G4" s="1" t="s">
        <v>19</v>
      </c>
      <c r="H4" s="1">
        <v>1.2</v>
      </c>
      <c r="I4" s="1">
        <v>1.603</v>
      </c>
      <c r="J4" s="1">
        <v>28.6424899663723</v>
      </c>
      <c r="K4" t="str">
        <f t="shared" si="0"/>
        <v>缺口合适</v>
      </c>
      <c r="L4" s="2">
        <f t="shared" si="1"/>
        <v>1612.875</v>
      </c>
      <c r="M4" s="2">
        <f t="shared" si="2"/>
        <v>1935.45</v>
      </c>
      <c r="N4" s="2">
        <f t="shared" si="3"/>
        <v>657.45</v>
      </c>
      <c r="O4" s="2">
        <f t="shared" si="4"/>
        <v>404.8</v>
      </c>
      <c r="P4" s="2">
        <f t="shared" si="5"/>
        <v>809.6</v>
      </c>
    </row>
    <row r="5" spans="1:16">
      <c r="A5" s="1">
        <v>4</v>
      </c>
      <c r="B5" s="1">
        <v>33</v>
      </c>
      <c r="C5" s="1" t="s">
        <v>18</v>
      </c>
      <c r="D5" s="1">
        <v>163.7</v>
      </c>
      <c r="E5" s="1">
        <v>56.9</v>
      </c>
      <c r="F5" s="1">
        <v>1505</v>
      </c>
      <c r="G5" s="1" t="s">
        <v>20</v>
      </c>
      <c r="H5" s="1">
        <v>1.55</v>
      </c>
      <c r="I5" s="1">
        <v>1.63699999999999</v>
      </c>
      <c r="J5" s="1">
        <v>21.2331734563688</v>
      </c>
      <c r="K5" t="str">
        <f t="shared" si="0"/>
        <v>缺口合适</v>
      </c>
      <c r="L5" s="2">
        <f t="shared" si="1"/>
        <v>1266.125</v>
      </c>
      <c r="M5" s="2">
        <f t="shared" si="2"/>
        <v>1962.49375</v>
      </c>
      <c r="N5" s="2">
        <f t="shared" si="3"/>
        <v>457.49375</v>
      </c>
      <c r="O5" s="2">
        <f t="shared" si="4"/>
        <v>312.95</v>
      </c>
      <c r="P5" s="2">
        <f t="shared" si="5"/>
        <v>625.9</v>
      </c>
    </row>
    <row r="6" spans="1:16">
      <c r="A6" s="1">
        <v>5</v>
      </c>
      <c r="B6" s="1">
        <v>26</v>
      </c>
      <c r="C6" s="1" t="s">
        <v>18</v>
      </c>
      <c r="D6" s="1">
        <v>169.6</v>
      </c>
      <c r="E6" s="1">
        <v>99.6</v>
      </c>
      <c r="F6" s="1">
        <v>2870</v>
      </c>
      <c r="G6" s="1" t="s">
        <v>17</v>
      </c>
      <c r="H6" s="1">
        <v>1.375</v>
      </c>
      <c r="I6" s="1">
        <v>1.696</v>
      </c>
      <c r="J6" s="1">
        <v>34.626423994304</v>
      </c>
      <c r="K6" t="str">
        <f t="shared" si="0"/>
        <v>没有热量缺口</v>
      </c>
      <c r="L6" s="2">
        <f t="shared" si="1"/>
        <v>1765</v>
      </c>
      <c r="M6" s="2">
        <f t="shared" si="2"/>
        <v>2426.875</v>
      </c>
      <c r="N6" s="2">
        <f t="shared" si="3"/>
        <v>-443.125</v>
      </c>
      <c r="O6" s="2">
        <f t="shared" si="4"/>
        <v>547.8</v>
      </c>
      <c r="P6" s="2">
        <f t="shared" si="5"/>
        <v>1095.6</v>
      </c>
    </row>
    <row r="7" spans="1:16">
      <c r="A7" s="1">
        <v>6</v>
      </c>
      <c r="B7" s="1">
        <v>26</v>
      </c>
      <c r="C7" s="1" t="s">
        <v>18</v>
      </c>
      <c r="D7" s="1">
        <v>158.1</v>
      </c>
      <c r="E7" s="1">
        <v>56.5</v>
      </c>
      <c r="F7" s="1">
        <v>2118</v>
      </c>
      <c r="G7" s="1" t="s">
        <v>20</v>
      </c>
      <c r="H7" s="1">
        <v>1.55</v>
      </c>
      <c r="I7" s="1">
        <v>1.581</v>
      </c>
      <c r="J7" s="1">
        <v>22.6039692570015</v>
      </c>
      <c r="K7" t="str">
        <f t="shared" si="0"/>
        <v>没有热量缺口</v>
      </c>
      <c r="L7" s="2">
        <f t="shared" si="1"/>
        <v>1262.125</v>
      </c>
      <c r="M7" s="2">
        <f t="shared" si="2"/>
        <v>1956.29375</v>
      </c>
      <c r="N7" s="2">
        <f t="shared" si="3"/>
        <v>-161.70625</v>
      </c>
      <c r="O7" s="2">
        <f t="shared" si="4"/>
        <v>310.75</v>
      </c>
      <c r="P7" s="2">
        <f t="shared" si="5"/>
        <v>621.5</v>
      </c>
    </row>
    <row r="8" spans="1:16">
      <c r="A8" s="1">
        <v>7</v>
      </c>
      <c r="B8" s="1">
        <v>22</v>
      </c>
      <c r="C8" s="1" t="s">
        <v>18</v>
      </c>
      <c r="D8" s="1">
        <v>165.2</v>
      </c>
      <c r="E8" s="1">
        <v>101.7</v>
      </c>
      <c r="F8" s="1">
        <v>2203</v>
      </c>
      <c r="G8" s="1" t="s">
        <v>21</v>
      </c>
      <c r="H8" s="1">
        <v>1.725</v>
      </c>
      <c r="I8" s="1">
        <v>1.652</v>
      </c>
      <c r="J8" s="1">
        <v>37.2649778095668</v>
      </c>
      <c r="K8" t="str">
        <f t="shared" si="0"/>
        <v>缺口合适</v>
      </c>
      <c r="L8" s="2">
        <f t="shared" si="1"/>
        <v>1778.5</v>
      </c>
      <c r="M8" s="2">
        <f t="shared" si="2"/>
        <v>3067.9125</v>
      </c>
      <c r="N8" s="2">
        <f t="shared" si="3"/>
        <v>864.9125</v>
      </c>
      <c r="O8" s="2">
        <f t="shared" si="4"/>
        <v>559.35</v>
      </c>
      <c r="P8" s="2">
        <f t="shared" si="5"/>
        <v>1118.7</v>
      </c>
    </row>
    <row r="9" spans="1:16">
      <c r="A9" s="1">
        <v>8</v>
      </c>
      <c r="B9" s="1">
        <v>29</v>
      </c>
      <c r="C9" s="1" t="s">
        <v>16</v>
      </c>
      <c r="D9" s="1">
        <v>174.8</v>
      </c>
      <c r="E9" s="1">
        <v>74.7</v>
      </c>
      <c r="F9" s="1">
        <v>1809</v>
      </c>
      <c r="G9" s="1" t="s">
        <v>21</v>
      </c>
      <c r="H9" s="1">
        <v>1.725</v>
      </c>
      <c r="I9" s="1">
        <v>1.748</v>
      </c>
      <c r="J9" s="1">
        <v>24.4476852263979</v>
      </c>
      <c r="K9" t="str">
        <f t="shared" si="0"/>
        <v>缺口过大</v>
      </c>
      <c r="L9" s="2">
        <f t="shared" si="1"/>
        <v>1699.5</v>
      </c>
      <c r="M9" s="2">
        <f t="shared" si="2"/>
        <v>2931.6375</v>
      </c>
      <c r="N9" s="2">
        <f t="shared" si="3"/>
        <v>1122.6375</v>
      </c>
      <c r="O9" s="2">
        <f t="shared" si="4"/>
        <v>410.85</v>
      </c>
      <c r="P9" s="2">
        <f t="shared" si="5"/>
        <v>821.7</v>
      </c>
    </row>
    <row r="10" spans="1:16">
      <c r="A10" s="1">
        <v>9</v>
      </c>
      <c r="B10" s="1">
        <v>31</v>
      </c>
      <c r="C10" s="1" t="s">
        <v>18</v>
      </c>
      <c r="D10" s="1">
        <v>168.1</v>
      </c>
      <c r="E10" s="1">
        <v>159</v>
      </c>
      <c r="F10" s="1">
        <v>2440</v>
      </c>
      <c r="G10" s="1" t="s">
        <v>17</v>
      </c>
      <c r="H10" s="1">
        <v>1.375</v>
      </c>
      <c r="I10" s="1">
        <v>1.681</v>
      </c>
      <c r="J10" s="1">
        <v>56.2680283293597</v>
      </c>
      <c r="K10" t="str">
        <f t="shared" si="0"/>
        <v>缺口过小</v>
      </c>
      <c r="L10" s="2">
        <f t="shared" si="1"/>
        <v>2324.625</v>
      </c>
      <c r="M10" s="2">
        <f t="shared" si="2"/>
        <v>3196.359375</v>
      </c>
      <c r="N10" s="2">
        <f t="shared" si="3"/>
        <v>756.359375</v>
      </c>
      <c r="O10" s="2">
        <f t="shared" si="4"/>
        <v>874.5</v>
      </c>
      <c r="P10" s="2">
        <f t="shared" si="5"/>
        <v>1749</v>
      </c>
    </row>
    <row r="11" spans="1:16">
      <c r="A11" s="1">
        <v>10</v>
      </c>
      <c r="B11" s="1">
        <v>30</v>
      </c>
      <c r="C11" s="1" t="s">
        <v>18</v>
      </c>
      <c r="D11" s="1">
        <v>165.3</v>
      </c>
      <c r="E11" s="1">
        <v>59.4</v>
      </c>
      <c r="F11" s="1">
        <v>1599</v>
      </c>
      <c r="G11" s="1" t="s">
        <v>17</v>
      </c>
      <c r="H11" s="1">
        <v>1.375</v>
      </c>
      <c r="I11" s="1">
        <v>1.653</v>
      </c>
      <c r="J11" s="1">
        <v>21.7390588305045</v>
      </c>
      <c r="K11" t="str">
        <f t="shared" si="0"/>
        <v>缺口过小</v>
      </c>
      <c r="L11" s="2">
        <f t="shared" si="1"/>
        <v>1316.125</v>
      </c>
      <c r="M11" s="2">
        <f t="shared" si="2"/>
        <v>1809.671875</v>
      </c>
      <c r="N11" s="2">
        <f t="shared" si="3"/>
        <v>210.671875</v>
      </c>
      <c r="O11" s="2">
        <f t="shared" si="4"/>
        <v>326.7</v>
      </c>
      <c r="P11" s="2">
        <f t="shared" si="5"/>
        <v>653.4</v>
      </c>
    </row>
    <row r="12" spans="1:16">
      <c r="A12" s="1">
        <v>11</v>
      </c>
      <c r="B12" s="1">
        <v>24</v>
      </c>
      <c r="C12" s="1" t="s">
        <v>16</v>
      </c>
      <c r="D12" s="1">
        <v>171.1</v>
      </c>
      <c r="E12" s="1">
        <v>58</v>
      </c>
      <c r="F12" s="1">
        <v>1987</v>
      </c>
      <c r="G12" s="1" t="s">
        <v>21</v>
      </c>
      <c r="H12" s="1">
        <v>1.725</v>
      </c>
      <c r="I12" s="1">
        <v>1.71099999999999</v>
      </c>
      <c r="J12" s="1">
        <v>19.8119842692844</v>
      </c>
      <c r="K12" t="str">
        <f t="shared" si="0"/>
        <v>缺口过大</v>
      </c>
      <c r="L12" s="2">
        <f t="shared" si="1"/>
        <v>1534.375</v>
      </c>
      <c r="M12" s="2">
        <f t="shared" si="2"/>
        <v>2646.796875</v>
      </c>
      <c r="N12" s="2">
        <f t="shared" si="3"/>
        <v>659.796875</v>
      </c>
      <c r="O12" s="2">
        <f t="shared" si="4"/>
        <v>319</v>
      </c>
      <c r="P12" s="2">
        <f t="shared" si="5"/>
        <v>638</v>
      </c>
    </row>
    <row r="13" spans="1:16">
      <c r="A13" s="1">
        <v>12</v>
      </c>
      <c r="B13" s="1">
        <v>28</v>
      </c>
      <c r="C13" s="1" t="s">
        <v>18</v>
      </c>
      <c r="D13" s="1">
        <v>165.7</v>
      </c>
      <c r="E13" s="1">
        <v>85</v>
      </c>
      <c r="F13" s="1">
        <v>1415</v>
      </c>
      <c r="G13" s="1" t="s">
        <v>19</v>
      </c>
      <c r="H13" s="1">
        <v>1.2</v>
      </c>
      <c r="I13" s="1">
        <v>1.65699999999999</v>
      </c>
      <c r="J13" s="1">
        <v>30.9580722080644</v>
      </c>
      <c r="K13" t="str">
        <f t="shared" si="0"/>
        <v>缺口合适</v>
      </c>
      <c r="L13" s="2">
        <f t="shared" si="1"/>
        <v>1584.625</v>
      </c>
      <c r="M13" s="2">
        <f t="shared" si="2"/>
        <v>1901.55</v>
      </c>
      <c r="N13" s="2">
        <f t="shared" si="3"/>
        <v>486.55</v>
      </c>
      <c r="O13" s="2">
        <f t="shared" si="4"/>
        <v>467.5</v>
      </c>
      <c r="P13" s="2">
        <f t="shared" si="5"/>
        <v>935</v>
      </c>
    </row>
    <row r="14" spans="1:16">
      <c r="A14" s="1">
        <v>13</v>
      </c>
      <c r="B14" s="1">
        <v>32</v>
      </c>
      <c r="C14" s="1" t="s">
        <v>18</v>
      </c>
      <c r="D14" s="1">
        <v>159.6</v>
      </c>
      <c r="E14" s="1">
        <v>74.5</v>
      </c>
      <c r="F14" s="1">
        <v>2049</v>
      </c>
      <c r="G14" s="1" t="s">
        <v>17</v>
      </c>
      <c r="H14" s="1">
        <v>1.375</v>
      </c>
      <c r="I14" s="1">
        <v>1.59599999999999</v>
      </c>
      <c r="J14" s="1">
        <v>29.2476177913455</v>
      </c>
      <c r="K14" t="str">
        <f t="shared" si="0"/>
        <v>没有热量缺口</v>
      </c>
      <c r="L14" s="2">
        <f t="shared" si="1"/>
        <v>1421.5</v>
      </c>
      <c r="M14" s="2">
        <f t="shared" si="2"/>
        <v>1954.5625</v>
      </c>
      <c r="N14" s="2">
        <f t="shared" si="3"/>
        <v>-94.4375</v>
      </c>
      <c r="O14" s="2">
        <f t="shared" si="4"/>
        <v>409.75</v>
      </c>
      <c r="P14" s="2">
        <f t="shared" si="5"/>
        <v>819.5</v>
      </c>
    </row>
    <row r="15" spans="1:16">
      <c r="A15" s="1">
        <v>14</v>
      </c>
      <c r="B15" s="1">
        <v>22</v>
      </c>
      <c r="C15" s="1" t="s">
        <v>16</v>
      </c>
      <c r="D15" s="1">
        <v>184.5</v>
      </c>
      <c r="E15" s="1">
        <v>66.9</v>
      </c>
      <c r="F15" s="1">
        <v>2724</v>
      </c>
      <c r="G15" s="1" t="s">
        <v>19</v>
      </c>
      <c r="H15" s="1">
        <v>1.2</v>
      </c>
      <c r="I15" s="1">
        <v>1.845</v>
      </c>
      <c r="J15" s="1">
        <v>19.6532046621279</v>
      </c>
      <c r="K15" t="str">
        <f t="shared" si="0"/>
        <v>没有热量缺口</v>
      </c>
      <c r="L15" s="2">
        <f t="shared" si="1"/>
        <v>1717.125</v>
      </c>
      <c r="M15" s="2">
        <f t="shared" si="2"/>
        <v>2060.55</v>
      </c>
      <c r="N15" s="2">
        <f t="shared" si="3"/>
        <v>-663.45</v>
      </c>
      <c r="O15" s="2">
        <f t="shared" si="4"/>
        <v>367.95</v>
      </c>
      <c r="P15" s="2">
        <f t="shared" si="5"/>
        <v>735.9</v>
      </c>
    </row>
    <row r="16" spans="1:16">
      <c r="A16" s="1">
        <v>15</v>
      </c>
      <c r="B16" s="1">
        <v>31</v>
      </c>
      <c r="C16" s="1" t="s">
        <v>18</v>
      </c>
      <c r="D16" s="1">
        <v>155.8</v>
      </c>
      <c r="E16" s="1">
        <v>77.2</v>
      </c>
      <c r="F16" s="1">
        <v>45</v>
      </c>
      <c r="G16" s="1" t="s">
        <v>17</v>
      </c>
      <c r="H16" s="1">
        <v>1.375</v>
      </c>
      <c r="I16" s="1">
        <v>1.558</v>
      </c>
      <c r="J16" s="1">
        <v>31.8040475182131</v>
      </c>
      <c r="K16" t="str">
        <f t="shared" si="0"/>
        <v>缺口过大</v>
      </c>
      <c r="L16" s="2">
        <f t="shared" si="1"/>
        <v>1429.75</v>
      </c>
      <c r="M16" s="2">
        <f t="shared" si="2"/>
        <v>1965.90625</v>
      </c>
      <c r="N16" s="2">
        <f t="shared" si="3"/>
        <v>1920.90625</v>
      </c>
      <c r="O16" s="2">
        <f t="shared" si="4"/>
        <v>424.6</v>
      </c>
      <c r="P16" s="2">
        <f t="shared" si="5"/>
        <v>849.2</v>
      </c>
    </row>
    <row r="17" spans="1:16">
      <c r="A17" s="1">
        <v>16</v>
      </c>
      <c r="B17" s="1">
        <v>25</v>
      </c>
      <c r="C17" s="1" t="s">
        <v>18</v>
      </c>
      <c r="D17" s="1">
        <v>166.6</v>
      </c>
      <c r="E17" s="1">
        <v>80.4</v>
      </c>
      <c r="F17" s="1">
        <v>996</v>
      </c>
      <c r="G17" s="1" t="s">
        <v>21</v>
      </c>
      <c r="H17" s="1">
        <v>1.725</v>
      </c>
      <c r="I17" s="1">
        <v>1.666</v>
      </c>
      <c r="J17" s="1">
        <v>28.9671691005333</v>
      </c>
      <c r="K17" t="str">
        <f t="shared" si="0"/>
        <v>缺口过大</v>
      </c>
      <c r="L17" s="2">
        <f t="shared" si="1"/>
        <v>1559.25</v>
      </c>
      <c r="M17" s="2">
        <f t="shared" si="2"/>
        <v>2689.70625</v>
      </c>
      <c r="N17" s="2">
        <f t="shared" si="3"/>
        <v>1693.70625</v>
      </c>
      <c r="O17" s="2">
        <f t="shared" si="4"/>
        <v>442.2</v>
      </c>
      <c r="P17" s="2">
        <f t="shared" si="5"/>
        <v>884.4</v>
      </c>
    </row>
    <row r="18" spans="1:16">
      <c r="A18" s="1">
        <v>17</v>
      </c>
      <c r="B18" s="1">
        <v>20</v>
      </c>
      <c r="C18" s="1" t="s">
        <v>18</v>
      </c>
      <c r="D18" s="1">
        <v>165.3</v>
      </c>
      <c r="E18" s="1">
        <v>58.4</v>
      </c>
      <c r="F18" s="1">
        <v>1659</v>
      </c>
      <c r="G18" s="1" t="s">
        <v>19</v>
      </c>
      <c r="H18" s="1">
        <v>1.2</v>
      </c>
      <c r="I18" s="1">
        <v>1.653</v>
      </c>
      <c r="J18" s="1">
        <v>21.3730814091155</v>
      </c>
      <c r="K18" t="str">
        <f t="shared" si="0"/>
        <v>没有热量缺口</v>
      </c>
      <c r="L18" s="2">
        <f t="shared" si="1"/>
        <v>1356.125</v>
      </c>
      <c r="M18" s="2">
        <f t="shared" si="2"/>
        <v>1627.35</v>
      </c>
      <c r="N18" s="2">
        <f t="shared" si="3"/>
        <v>-31.6500000000001</v>
      </c>
      <c r="O18" s="2">
        <f t="shared" si="4"/>
        <v>321.2</v>
      </c>
      <c r="P18" s="2">
        <f t="shared" si="5"/>
        <v>642.4</v>
      </c>
    </row>
    <row r="19" spans="1:16">
      <c r="A19" s="1">
        <v>18</v>
      </c>
      <c r="B19" s="1">
        <v>33</v>
      </c>
      <c r="C19" s="1" t="s">
        <v>18</v>
      </c>
      <c r="D19" s="1">
        <v>159.2</v>
      </c>
      <c r="E19" s="1">
        <v>50.3</v>
      </c>
      <c r="F19" s="1">
        <v>1593</v>
      </c>
      <c r="G19" s="1" t="s">
        <v>19</v>
      </c>
      <c r="H19" s="1">
        <v>1.2</v>
      </c>
      <c r="I19" s="1">
        <v>1.59199999999999</v>
      </c>
      <c r="J19" s="1">
        <v>19.8464053938031</v>
      </c>
      <c r="K19" t="str">
        <f t="shared" si="0"/>
        <v>没有热量缺口</v>
      </c>
      <c r="L19" s="2">
        <f t="shared" si="1"/>
        <v>1172</v>
      </c>
      <c r="M19" s="2">
        <f t="shared" si="2"/>
        <v>1406.4</v>
      </c>
      <c r="N19" s="2">
        <f t="shared" si="3"/>
        <v>-186.6</v>
      </c>
      <c r="O19" s="2">
        <f t="shared" si="4"/>
        <v>276.65</v>
      </c>
      <c r="P19" s="2">
        <f t="shared" si="5"/>
        <v>553.3</v>
      </c>
    </row>
    <row r="20" spans="1:16">
      <c r="A20" s="1">
        <v>19</v>
      </c>
      <c r="B20" s="1">
        <v>22</v>
      </c>
      <c r="C20" s="1" t="s">
        <v>18</v>
      </c>
      <c r="D20" s="1">
        <v>171.5</v>
      </c>
      <c r="E20" s="1">
        <v>54.8</v>
      </c>
      <c r="F20" s="1">
        <v>1409</v>
      </c>
      <c r="G20" s="1" t="s">
        <v>20</v>
      </c>
      <c r="H20" s="1">
        <v>1.55</v>
      </c>
      <c r="I20" s="1">
        <v>1.715</v>
      </c>
      <c r="J20" s="1">
        <v>18.6316925770724</v>
      </c>
      <c r="K20" t="str">
        <f t="shared" si="0"/>
        <v>缺口过大</v>
      </c>
      <c r="L20" s="2">
        <f t="shared" si="1"/>
        <v>1348.875</v>
      </c>
      <c r="M20" s="2">
        <f t="shared" si="2"/>
        <v>2090.75625</v>
      </c>
      <c r="N20" s="2">
        <f t="shared" si="3"/>
        <v>681.75625</v>
      </c>
      <c r="O20" s="2">
        <f t="shared" si="4"/>
        <v>301.4</v>
      </c>
      <c r="P20" s="2">
        <f t="shared" si="5"/>
        <v>602.8</v>
      </c>
    </row>
    <row r="21" spans="1:16">
      <c r="A21" s="1">
        <v>20</v>
      </c>
      <c r="B21" s="1">
        <v>22</v>
      </c>
      <c r="C21" s="1" t="s">
        <v>16</v>
      </c>
      <c r="D21" s="1">
        <v>185.4</v>
      </c>
      <c r="E21" s="1">
        <v>80.7</v>
      </c>
      <c r="F21" s="1">
        <v>2587</v>
      </c>
      <c r="G21" s="1" t="s">
        <v>21</v>
      </c>
      <c r="H21" s="1">
        <v>1.725</v>
      </c>
      <c r="I21" s="1">
        <v>1.854</v>
      </c>
      <c r="J21" s="1">
        <v>23.4776203293499</v>
      </c>
      <c r="K21" t="str">
        <f t="shared" si="0"/>
        <v>缺口合适</v>
      </c>
      <c r="L21" s="2">
        <f t="shared" si="1"/>
        <v>1860.75</v>
      </c>
      <c r="M21" s="2">
        <f t="shared" si="2"/>
        <v>3209.79375</v>
      </c>
      <c r="N21" s="2">
        <f t="shared" si="3"/>
        <v>622.79375</v>
      </c>
      <c r="O21" s="2">
        <f t="shared" si="4"/>
        <v>443.85</v>
      </c>
      <c r="P21" s="2">
        <f t="shared" si="5"/>
        <v>887.7</v>
      </c>
    </row>
    <row r="22" spans="1:16">
      <c r="A22" s="1">
        <v>21</v>
      </c>
      <c r="B22" s="1">
        <v>30</v>
      </c>
      <c r="C22" s="1" t="s">
        <v>16</v>
      </c>
      <c r="D22" s="1">
        <v>185.9</v>
      </c>
      <c r="E22" s="1">
        <v>90</v>
      </c>
      <c r="F22" s="1">
        <v>1242</v>
      </c>
      <c r="G22" s="1" t="s">
        <v>17</v>
      </c>
      <c r="H22" s="1">
        <v>1.375</v>
      </c>
      <c r="I22" s="1">
        <v>1.859</v>
      </c>
      <c r="J22" s="1">
        <v>26.0425633868758</v>
      </c>
      <c r="K22" t="str">
        <f t="shared" si="0"/>
        <v>缺口过大</v>
      </c>
      <c r="L22" s="2">
        <f t="shared" si="1"/>
        <v>1916.875</v>
      </c>
      <c r="M22" s="2">
        <f t="shared" si="2"/>
        <v>2635.703125</v>
      </c>
      <c r="N22" s="2">
        <f t="shared" si="3"/>
        <v>1393.703125</v>
      </c>
      <c r="O22" s="2">
        <f t="shared" si="4"/>
        <v>495</v>
      </c>
      <c r="P22" s="2">
        <f t="shared" si="5"/>
        <v>990</v>
      </c>
    </row>
    <row r="23" spans="1:16">
      <c r="A23" s="1">
        <v>22</v>
      </c>
      <c r="B23" s="1">
        <v>33</v>
      </c>
      <c r="C23" s="1" t="s">
        <v>16</v>
      </c>
      <c r="D23" s="1">
        <v>181.3</v>
      </c>
      <c r="E23" s="1">
        <v>69</v>
      </c>
      <c r="F23" s="1">
        <v>4041</v>
      </c>
      <c r="G23" s="1" t="s">
        <v>21</v>
      </c>
      <c r="H23" s="1">
        <v>1.725</v>
      </c>
      <c r="I23" s="1">
        <v>1.813</v>
      </c>
      <c r="J23" s="1">
        <v>20.9919838002731</v>
      </c>
      <c r="K23" t="str">
        <f t="shared" si="0"/>
        <v>没有热量缺口</v>
      </c>
      <c r="L23" s="2">
        <f t="shared" si="1"/>
        <v>1663.125</v>
      </c>
      <c r="M23" s="2">
        <f t="shared" si="2"/>
        <v>2868.890625</v>
      </c>
      <c r="N23" s="2">
        <f t="shared" si="3"/>
        <v>-1172.109375</v>
      </c>
      <c r="O23" s="2">
        <f t="shared" si="4"/>
        <v>379.5</v>
      </c>
      <c r="P23" s="2">
        <f t="shared" si="5"/>
        <v>759</v>
      </c>
    </row>
    <row r="24" spans="1:16">
      <c r="A24" s="1">
        <v>23</v>
      </c>
      <c r="B24" s="1">
        <v>28</v>
      </c>
      <c r="C24" s="1" t="s">
        <v>18</v>
      </c>
      <c r="D24" s="1">
        <v>153.5</v>
      </c>
      <c r="E24" s="1">
        <v>48.4</v>
      </c>
      <c r="F24" s="1">
        <v>2795</v>
      </c>
      <c r="G24" s="1" t="s">
        <v>19</v>
      </c>
      <c r="H24" s="1">
        <v>1.2</v>
      </c>
      <c r="I24" s="1">
        <v>1.535</v>
      </c>
      <c r="J24" s="1">
        <v>20.5413320035225</v>
      </c>
      <c r="K24" t="str">
        <f t="shared" si="0"/>
        <v>没有热量缺口</v>
      </c>
      <c r="L24" s="2">
        <f t="shared" si="1"/>
        <v>1142.375</v>
      </c>
      <c r="M24" s="2">
        <f t="shared" si="2"/>
        <v>1370.85</v>
      </c>
      <c r="N24" s="2">
        <f t="shared" si="3"/>
        <v>-1424.15</v>
      </c>
      <c r="O24" s="2">
        <f t="shared" si="4"/>
        <v>266.2</v>
      </c>
      <c r="P24" s="2">
        <f t="shared" si="5"/>
        <v>532.4</v>
      </c>
    </row>
    <row r="25" spans="1:16">
      <c r="A25" s="1">
        <v>24</v>
      </c>
      <c r="B25" s="1">
        <v>35</v>
      </c>
      <c r="C25" s="1" t="s">
        <v>18</v>
      </c>
      <c r="D25" s="1">
        <v>164.2</v>
      </c>
      <c r="E25" s="1">
        <v>153.5</v>
      </c>
      <c r="F25" s="1">
        <v>2520</v>
      </c>
      <c r="G25" s="1" t="s">
        <v>17</v>
      </c>
      <c r="H25" s="1">
        <v>1.375</v>
      </c>
      <c r="I25" s="1">
        <v>1.642</v>
      </c>
      <c r="J25" s="1">
        <v>56.9327385129391</v>
      </c>
      <c r="K25" t="str">
        <f t="shared" si="0"/>
        <v>缺口过小</v>
      </c>
      <c r="L25" s="2">
        <f t="shared" si="1"/>
        <v>2225.25</v>
      </c>
      <c r="M25" s="2">
        <f t="shared" si="2"/>
        <v>3059.71875</v>
      </c>
      <c r="N25" s="2">
        <f t="shared" si="3"/>
        <v>539.71875</v>
      </c>
      <c r="O25" s="2">
        <f t="shared" si="4"/>
        <v>844.25</v>
      </c>
      <c r="P25" s="2">
        <f t="shared" si="5"/>
        <v>1688.5</v>
      </c>
    </row>
    <row r="26" spans="1:16">
      <c r="A26" s="1">
        <v>25</v>
      </c>
      <c r="B26" s="1">
        <v>33</v>
      </c>
      <c r="C26" s="1" t="s">
        <v>16</v>
      </c>
      <c r="D26" s="1">
        <v>176.2</v>
      </c>
      <c r="E26" s="1">
        <v>92.5</v>
      </c>
      <c r="F26" s="1">
        <v>1866</v>
      </c>
      <c r="G26" s="1" t="s">
        <v>20</v>
      </c>
      <c r="H26" s="1">
        <v>1.55</v>
      </c>
      <c r="I26" s="1">
        <v>1.76199999999999</v>
      </c>
      <c r="J26" s="1">
        <v>29.7940762290298</v>
      </c>
      <c r="K26" t="str">
        <f t="shared" si="0"/>
        <v>缺口过大</v>
      </c>
      <c r="L26" s="2">
        <f t="shared" si="1"/>
        <v>1866.25</v>
      </c>
      <c r="M26" s="2">
        <f t="shared" si="2"/>
        <v>2892.6875</v>
      </c>
      <c r="N26" s="2">
        <f t="shared" si="3"/>
        <v>1026.6875</v>
      </c>
      <c r="O26" s="2">
        <f t="shared" si="4"/>
        <v>508.75</v>
      </c>
      <c r="P26" s="2">
        <f t="shared" si="5"/>
        <v>1017.5</v>
      </c>
    </row>
    <row r="27" spans="1:16">
      <c r="A27" s="1">
        <v>26</v>
      </c>
      <c r="B27" s="1">
        <v>22</v>
      </c>
      <c r="C27" s="1" t="s">
        <v>18</v>
      </c>
      <c r="D27" s="1">
        <v>171.5</v>
      </c>
      <c r="E27" s="1">
        <v>89.1</v>
      </c>
      <c r="F27" s="1">
        <v>1973</v>
      </c>
      <c r="G27" s="1" t="s">
        <v>19</v>
      </c>
      <c r="H27" s="1">
        <v>1.2</v>
      </c>
      <c r="I27" s="1">
        <v>1.715</v>
      </c>
      <c r="J27" s="1">
        <v>30.2935001572474</v>
      </c>
      <c r="K27" t="str">
        <f t="shared" si="0"/>
        <v>缺口过小</v>
      </c>
      <c r="L27" s="2">
        <f t="shared" si="1"/>
        <v>1691.875</v>
      </c>
      <c r="M27" s="2">
        <f t="shared" si="2"/>
        <v>2030.25</v>
      </c>
      <c r="N27" s="2">
        <f t="shared" si="3"/>
        <v>57.25</v>
      </c>
      <c r="O27" s="2">
        <f t="shared" si="4"/>
        <v>490.05</v>
      </c>
      <c r="P27" s="2">
        <f t="shared" si="5"/>
        <v>980.1</v>
      </c>
    </row>
    <row r="28" spans="1:16">
      <c r="A28" s="1">
        <v>27</v>
      </c>
      <c r="B28" s="1">
        <v>30</v>
      </c>
      <c r="C28" s="1" t="s">
        <v>16</v>
      </c>
      <c r="D28" s="1">
        <v>167.8</v>
      </c>
      <c r="E28" s="1">
        <v>80.9</v>
      </c>
      <c r="F28" s="1">
        <v>2731</v>
      </c>
      <c r="G28" s="1" t="s">
        <v>17</v>
      </c>
      <c r="H28" s="1">
        <v>1.375</v>
      </c>
      <c r="I28" s="1">
        <v>1.678</v>
      </c>
      <c r="J28" s="1">
        <v>28.7319173600446</v>
      </c>
      <c r="K28" t="str">
        <f t="shared" si="0"/>
        <v>没有热量缺口</v>
      </c>
      <c r="L28" s="2">
        <f t="shared" si="1"/>
        <v>1712.75</v>
      </c>
      <c r="M28" s="2">
        <f t="shared" si="2"/>
        <v>2355.03125</v>
      </c>
      <c r="N28" s="2">
        <f t="shared" si="3"/>
        <v>-375.96875</v>
      </c>
      <c r="O28" s="2">
        <f t="shared" si="4"/>
        <v>444.95</v>
      </c>
      <c r="P28" s="2">
        <f t="shared" si="5"/>
        <v>889.9</v>
      </c>
    </row>
    <row r="29" spans="1:16">
      <c r="A29" s="1">
        <v>28</v>
      </c>
      <c r="B29" s="1">
        <v>27</v>
      </c>
      <c r="C29" s="1" t="s">
        <v>16</v>
      </c>
      <c r="D29" s="1">
        <v>175</v>
      </c>
      <c r="E29" s="1">
        <v>145</v>
      </c>
      <c r="F29" s="1">
        <v>3312</v>
      </c>
      <c r="G29" s="1" t="s">
        <v>19</v>
      </c>
      <c r="H29" s="1">
        <v>1.2</v>
      </c>
      <c r="I29" s="1">
        <v>1.75</v>
      </c>
      <c r="J29" s="1">
        <v>47.3469387755102</v>
      </c>
      <c r="K29" t="str">
        <f t="shared" si="0"/>
        <v>没有热量缺口</v>
      </c>
      <c r="L29" s="2">
        <f t="shared" si="1"/>
        <v>2413.75</v>
      </c>
      <c r="M29" s="2">
        <f t="shared" si="2"/>
        <v>2896.5</v>
      </c>
      <c r="N29" s="2">
        <f t="shared" si="3"/>
        <v>-415.5</v>
      </c>
      <c r="O29" s="2">
        <f t="shared" si="4"/>
        <v>797.5</v>
      </c>
      <c r="P29" s="2">
        <f t="shared" si="5"/>
        <v>1595</v>
      </c>
    </row>
    <row r="30" spans="1:16">
      <c r="A30" s="1">
        <v>29</v>
      </c>
      <c r="B30" s="1">
        <v>28</v>
      </c>
      <c r="C30" s="1" t="s">
        <v>16</v>
      </c>
      <c r="D30" s="1">
        <v>176.8</v>
      </c>
      <c r="E30" s="1">
        <v>104.4</v>
      </c>
      <c r="F30" s="1">
        <v>1238</v>
      </c>
      <c r="G30" s="1" t="s">
        <v>21</v>
      </c>
      <c r="H30" s="1">
        <v>1.725</v>
      </c>
      <c r="I30" s="1">
        <v>1.768</v>
      </c>
      <c r="J30" s="1">
        <v>33.3991933007104</v>
      </c>
      <c r="K30" t="str">
        <f t="shared" si="0"/>
        <v>缺口过大</v>
      </c>
      <c r="L30" s="2">
        <f t="shared" si="1"/>
        <v>2014</v>
      </c>
      <c r="M30" s="2">
        <f t="shared" si="2"/>
        <v>3474.15</v>
      </c>
      <c r="N30" s="2">
        <f t="shared" si="3"/>
        <v>2236.15</v>
      </c>
      <c r="O30" s="2">
        <f t="shared" si="4"/>
        <v>574.2</v>
      </c>
      <c r="P30" s="2">
        <f t="shared" si="5"/>
        <v>1148.4</v>
      </c>
    </row>
    <row r="31" spans="1:16">
      <c r="A31" s="1">
        <v>30</v>
      </c>
      <c r="B31" s="1">
        <v>28</v>
      </c>
      <c r="C31" s="1" t="s">
        <v>16</v>
      </c>
      <c r="D31" s="1">
        <v>177.5</v>
      </c>
      <c r="E31" s="1">
        <v>86.1</v>
      </c>
      <c r="F31" s="1">
        <v>6723</v>
      </c>
      <c r="G31" s="1" t="s">
        <v>21</v>
      </c>
      <c r="H31" s="1">
        <v>1.725</v>
      </c>
      <c r="I31" s="1">
        <v>1.775</v>
      </c>
      <c r="J31" s="1">
        <v>27.3279111287442</v>
      </c>
      <c r="K31" t="str">
        <f t="shared" si="0"/>
        <v>没有热量缺口</v>
      </c>
      <c r="L31" s="2">
        <f t="shared" si="1"/>
        <v>1835.375</v>
      </c>
      <c r="M31" s="2">
        <f t="shared" si="2"/>
        <v>3166.021875</v>
      </c>
      <c r="N31" s="2">
        <f t="shared" si="3"/>
        <v>-3556.978125</v>
      </c>
      <c r="O31" s="2">
        <f t="shared" si="4"/>
        <v>473.55</v>
      </c>
      <c r="P31" s="2">
        <f t="shared" si="5"/>
        <v>947.1</v>
      </c>
    </row>
    <row r="32" spans="1:16">
      <c r="A32" s="1">
        <v>31</v>
      </c>
      <c r="B32" s="1">
        <v>31</v>
      </c>
      <c r="C32" s="1" t="s">
        <v>16</v>
      </c>
      <c r="D32" s="1">
        <v>174.4</v>
      </c>
      <c r="E32" s="1">
        <v>69.3</v>
      </c>
      <c r="F32" s="1">
        <v>2233</v>
      </c>
      <c r="G32" s="1" t="s">
        <v>21</v>
      </c>
      <c r="H32" s="1">
        <v>1.725</v>
      </c>
      <c r="I32" s="1">
        <v>1.744</v>
      </c>
      <c r="J32" s="1">
        <v>22.7845404427236</v>
      </c>
      <c r="K32" t="str">
        <f t="shared" si="0"/>
        <v>缺口合适</v>
      </c>
      <c r="L32" s="2">
        <f t="shared" si="1"/>
        <v>1633</v>
      </c>
      <c r="M32" s="2">
        <f t="shared" si="2"/>
        <v>2816.925</v>
      </c>
      <c r="N32" s="2">
        <f t="shared" si="3"/>
        <v>583.925</v>
      </c>
      <c r="O32" s="2">
        <f t="shared" si="4"/>
        <v>381.15</v>
      </c>
      <c r="P32" s="2">
        <f t="shared" si="5"/>
        <v>762.3</v>
      </c>
    </row>
    <row r="33" spans="1:16">
      <c r="A33" s="1">
        <v>32</v>
      </c>
      <c r="B33" s="1">
        <v>23</v>
      </c>
      <c r="C33" s="1" t="s">
        <v>16</v>
      </c>
      <c r="D33" s="1">
        <v>168.9</v>
      </c>
      <c r="E33" s="1">
        <v>72.6</v>
      </c>
      <c r="F33" s="1">
        <v>1539</v>
      </c>
      <c r="G33" s="1" t="s">
        <v>17</v>
      </c>
      <c r="H33" s="1">
        <v>1.375</v>
      </c>
      <c r="I33" s="1">
        <v>1.689</v>
      </c>
      <c r="J33" s="1">
        <v>25.4493867433934</v>
      </c>
      <c r="K33" t="str">
        <f t="shared" si="0"/>
        <v>缺口合适</v>
      </c>
      <c r="L33" s="2">
        <f t="shared" si="1"/>
        <v>1671.625</v>
      </c>
      <c r="M33" s="2">
        <f t="shared" si="2"/>
        <v>2298.484375</v>
      </c>
      <c r="N33" s="2">
        <f t="shared" si="3"/>
        <v>759.484375</v>
      </c>
      <c r="O33" s="2">
        <f t="shared" si="4"/>
        <v>399.3</v>
      </c>
      <c r="P33" s="2">
        <f t="shared" si="5"/>
        <v>798.6</v>
      </c>
    </row>
    <row r="34" spans="1:16">
      <c r="A34" s="1">
        <v>33</v>
      </c>
      <c r="B34" s="1">
        <v>30</v>
      </c>
      <c r="C34" s="1" t="s">
        <v>18</v>
      </c>
      <c r="D34" s="1">
        <v>160.7</v>
      </c>
      <c r="E34" s="1">
        <v>90.8</v>
      </c>
      <c r="F34" s="1">
        <v>2482</v>
      </c>
      <c r="G34" s="1" t="s">
        <v>19</v>
      </c>
      <c r="H34" s="1">
        <v>1.2</v>
      </c>
      <c r="I34" s="1">
        <v>1.607</v>
      </c>
      <c r="J34" s="1">
        <v>35.160423303616</v>
      </c>
      <c r="K34" t="str">
        <f t="shared" si="0"/>
        <v>没有热量缺口</v>
      </c>
      <c r="L34" s="2">
        <f t="shared" si="1"/>
        <v>1601.375</v>
      </c>
      <c r="M34" s="2">
        <f t="shared" si="2"/>
        <v>1921.65</v>
      </c>
      <c r="N34" s="2">
        <f t="shared" si="3"/>
        <v>-560.35</v>
      </c>
      <c r="O34" s="2">
        <f t="shared" si="4"/>
        <v>499.4</v>
      </c>
      <c r="P34" s="2">
        <f t="shared" si="5"/>
        <v>998.8</v>
      </c>
    </row>
    <row r="35" spans="1:16">
      <c r="A35" s="1">
        <v>34</v>
      </c>
      <c r="B35" s="1">
        <v>27</v>
      </c>
      <c r="C35" s="1" t="s">
        <v>18</v>
      </c>
      <c r="D35" s="1">
        <v>159.7</v>
      </c>
      <c r="E35" s="1">
        <v>78.3</v>
      </c>
      <c r="F35" s="1">
        <v>1825</v>
      </c>
      <c r="G35" s="1" t="s">
        <v>20</v>
      </c>
      <c r="H35" s="1">
        <v>1.55</v>
      </c>
      <c r="I35" s="1">
        <v>1.597</v>
      </c>
      <c r="J35" s="1">
        <v>30.7009581600441</v>
      </c>
      <c r="K35" t="str">
        <f t="shared" si="0"/>
        <v>缺口合适</v>
      </c>
      <c r="L35" s="2">
        <f t="shared" si="1"/>
        <v>1485.125</v>
      </c>
      <c r="M35" s="2">
        <f t="shared" si="2"/>
        <v>2301.94375</v>
      </c>
      <c r="N35" s="2">
        <f t="shared" si="3"/>
        <v>476.94375</v>
      </c>
      <c r="O35" s="2">
        <f t="shared" si="4"/>
        <v>430.65</v>
      </c>
      <c r="P35" s="2">
        <f t="shared" si="5"/>
        <v>861.3</v>
      </c>
    </row>
    <row r="36" spans="1:16">
      <c r="A36" s="1">
        <v>35</v>
      </c>
      <c r="B36" s="1">
        <v>32</v>
      </c>
      <c r="C36" s="1" t="s">
        <v>16</v>
      </c>
      <c r="D36" s="1">
        <v>178</v>
      </c>
      <c r="E36" s="1">
        <v>92.4</v>
      </c>
      <c r="F36" s="1">
        <v>2512</v>
      </c>
      <c r="G36" s="1" t="s">
        <v>17</v>
      </c>
      <c r="H36" s="1">
        <v>1.375</v>
      </c>
      <c r="I36" s="1">
        <v>1.78</v>
      </c>
      <c r="J36" s="1">
        <v>29.1629844716576</v>
      </c>
      <c r="K36" t="str">
        <f t="shared" si="0"/>
        <v>缺口过小</v>
      </c>
      <c r="L36" s="2">
        <f t="shared" si="1"/>
        <v>1881.5</v>
      </c>
      <c r="M36" s="2">
        <f t="shared" si="2"/>
        <v>2587.0625</v>
      </c>
      <c r="N36" s="2">
        <f t="shared" si="3"/>
        <v>75.0625</v>
      </c>
      <c r="O36" s="2">
        <f t="shared" si="4"/>
        <v>508.2</v>
      </c>
      <c r="P36" s="2">
        <f t="shared" si="5"/>
        <v>1016.4</v>
      </c>
    </row>
    <row r="37" spans="1:16">
      <c r="A37" s="1">
        <v>36</v>
      </c>
      <c r="B37" s="1">
        <v>29</v>
      </c>
      <c r="C37" s="1" t="s">
        <v>16</v>
      </c>
      <c r="D37" s="1">
        <v>183.9</v>
      </c>
      <c r="E37" s="1">
        <v>60.5</v>
      </c>
      <c r="F37" s="1">
        <v>5389</v>
      </c>
      <c r="G37" s="1" t="s">
        <v>21</v>
      </c>
      <c r="H37" s="1">
        <v>1.725</v>
      </c>
      <c r="I37" s="1">
        <v>1.839</v>
      </c>
      <c r="J37" s="1">
        <v>17.8892410556012</v>
      </c>
      <c r="K37" t="str">
        <f t="shared" si="0"/>
        <v>没有热量缺口</v>
      </c>
      <c r="L37" s="2">
        <f t="shared" si="1"/>
        <v>1614.375</v>
      </c>
      <c r="M37" s="2">
        <f t="shared" si="2"/>
        <v>2784.796875</v>
      </c>
      <c r="N37" s="2">
        <f t="shared" si="3"/>
        <v>-2604.203125</v>
      </c>
      <c r="O37" s="2">
        <f t="shared" si="4"/>
        <v>332.75</v>
      </c>
      <c r="P37" s="2">
        <f t="shared" si="5"/>
        <v>665.5</v>
      </c>
    </row>
    <row r="38" spans="1:16">
      <c r="A38" s="1">
        <v>37</v>
      </c>
      <c r="B38" s="1">
        <v>35</v>
      </c>
      <c r="C38" s="1" t="s">
        <v>18</v>
      </c>
      <c r="D38" s="1">
        <v>164.4</v>
      </c>
      <c r="E38" s="1">
        <v>99.9</v>
      </c>
      <c r="F38" s="1">
        <v>1874</v>
      </c>
      <c r="G38" s="1" t="s">
        <v>17</v>
      </c>
      <c r="H38" s="1">
        <v>1.375</v>
      </c>
      <c r="I38" s="1">
        <v>1.644</v>
      </c>
      <c r="J38" s="1">
        <v>36.9625446214502</v>
      </c>
      <c r="K38" t="str">
        <f t="shared" si="0"/>
        <v>缺口过小</v>
      </c>
      <c r="L38" s="2">
        <f t="shared" si="1"/>
        <v>1690.5</v>
      </c>
      <c r="M38" s="2">
        <f t="shared" si="2"/>
        <v>2324.4375</v>
      </c>
      <c r="N38" s="2">
        <f t="shared" si="3"/>
        <v>450.4375</v>
      </c>
      <c r="O38" s="2">
        <f t="shared" si="4"/>
        <v>549.45</v>
      </c>
      <c r="P38" s="2">
        <f t="shared" si="5"/>
        <v>1098.9</v>
      </c>
    </row>
    <row r="39" spans="1:16">
      <c r="A39" s="1">
        <v>38</v>
      </c>
      <c r="B39" s="1">
        <v>34</v>
      </c>
      <c r="C39" s="1" t="s">
        <v>16</v>
      </c>
      <c r="D39" s="1">
        <v>176.3</v>
      </c>
      <c r="E39" s="1">
        <v>77.9</v>
      </c>
      <c r="F39" s="1">
        <v>819</v>
      </c>
      <c r="G39" s="1" t="s">
        <v>17</v>
      </c>
      <c r="H39" s="1">
        <v>1.375</v>
      </c>
      <c r="I39" s="1">
        <v>1.763</v>
      </c>
      <c r="J39" s="1">
        <v>25.0629872442585</v>
      </c>
      <c r="K39" t="str">
        <f t="shared" si="0"/>
        <v>缺口过大</v>
      </c>
      <c r="L39" s="2">
        <f t="shared" si="1"/>
        <v>1715.875</v>
      </c>
      <c r="M39" s="2">
        <f t="shared" si="2"/>
        <v>2359.328125</v>
      </c>
      <c r="N39" s="2">
        <f t="shared" si="3"/>
        <v>1540.328125</v>
      </c>
      <c r="O39" s="2">
        <f t="shared" si="4"/>
        <v>428.45</v>
      </c>
      <c r="P39" s="2">
        <f t="shared" si="5"/>
        <v>856.9</v>
      </c>
    </row>
    <row r="40" spans="1:16">
      <c r="A40" s="1">
        <v>39</v>
      </c>
      <c r="B40" s="1">
        <v>28</v>
      </c>
      <c r="C40" s="1" t="s">
        <v>16</v>
      </c>
      <c r="D40" s="1">
        <v>176.9</v>
      </c>
      <c r="E40" s="1">
        <v>176.6</v>
      </c>
      <c r="F40" s="1">
        <v>3202</v>
      </c>
      <c r="G40" s="1" t="s">
        <v>20</v>
      </c>
      <c r="H40" s="1">
        <v>1.55</v>
      </c>
      <c r="I40" s="1">
        <v>1.769</v>
      </c>
      <c r="J40" s="1">
        <v>56.4332462761566</v>
      </c>
      <c r="K40" t="str">
        <f t="shared" si="0"/>
        <v>缺口合适</v>
      </c>
      <c r="L40" s="2">
        <f t="shared" si="1"/>
        <v>2736.625</v>
      </c>
      <c r="M40" s="2">
        <f t="shared" si="2"/>
        <v>4241.76875</v>
      </c>
      <c r="N40" s="2">
        <f t="shared" si="3"/>
        <v>1039.76875</v>
      </c>
      <c r="O40" s="2">
        <f t="shared" si="4"/>
        <v>971.3</v>
      </c>
      <c r="P40" s="2">
        <f t="shared" si="5"/>
        <v>1942.6</v>
      </c>
    </row>
    <row r="41" spans="1:16">
      <c r="A41" s="1">
        <v>40</v>
      </c>
      <c r="B41" s="1">
        <v>33</v>
      </c>
      <c r="C41" s="1" t="s">
        <v>18</v>
      </c>
      <c r="D41" s="1">
        <v>150.1</v>
      </c>
      <c r="E41" s="1">
        <v>91.9</v>
      </c>
      <c r="F41" s="1">
        <v>2046</v>
      </c>
      <c r="G41" s="1" t="s">
        <v>17</v>
      </c>
      <c r="H41" s="1">
        <v>1.375</v>
      </c>
      <c r="I41" s="1">
        <v>1.501</v>
      </c>
      <c r="J41" s="1">
        <v>40.7900395960765</v>
      </c>
      <c r="K41" t="str">
        <f t="shared" si="0"/>
        <v>缺口过小</v>
      </c>
      <c r="L41" s="2">
        <f t="shared" si="1"/>
        <v>1531.125</v>
      </c>
      <c r="M41" s="2">
        <f t="shared" si="2"/>
        <v>2105.296875</v>
      </c>
      <c r="N41" s="2">
        <f t="shared" si="3"/>
        <v>59.296875</v>
      </c>
      <c r="O41" s="2">
        <f t="shared" si="4"/>
        <v>505.45</v>
      </c>
      <c r="P41" s="2">
        <f t="shared" si="5"/>
        <v>1010.9</v>
      </c>
    </row>
    <row r="42" spans="1:16">
      <c r="A42" s="1">
        <v>41</v>
      </c>
      <c r="B42" s="1">
        <v>23</v>
      </c>
      <c r="C42" s="1" t="s">
        <v>18</v>
      </c>
      <c r="D42" s="1">
        <v>165.2</v>
      </c>
      <c r="E42" s="1">
        <v>55.7</v>
      </c>
      <c r="F42" s="1">
        <v>577</v>
      </c>
      <c r="G42" s="1" t="s">
        <v>19</v>
      </c>
      <c r="H42" s="1">
        <v>1.2</v>
      </c>
      <c r="I42" s="1">
        <v>1.652</v>
      </c>
      <c r="J42" s="1">
        <v>20.4096289478158</v>
      </c>
      <c r="K42" t="str">
        <f t="shared" si="0"/>
        <v>缺口过大</v>
      </c>
      <c r="L42" s="2">
        <f t="shared" si="1"/>
        <v>1313.5</v>
      </c>
      <c r="M42" s="2">
        <f t="shared" si="2"/>
        <v>1576.2</v>
      </c>
      <c r="N42" s="2">
        <f t="shared" si="3"/>
        <v>999.2</v>
      </c>
      <c r="O42" s="2">
        <f t="shared" si="4"/>
        <v>306.35</v>
      </c>
      <c r="P42" s="2">
        <f t="shared" si="5"/>
        <v>612.7</v>
      </c>
    </row>
    <row r="43" spans="1:16">
      <c r="A43" s="1">
        <v>42</v>
      </c>
      <c r="B43" s="1">
        <v>34</v>
      </c>
      <c r="C43" s="1" t="s">
        <v>18</v>
      </c>
      <c r="D43" s="1">
        <v>169.6</v>
      </c>
      <c r="E43" s="1">
        <v>102.1</v>
      </c>
      <c r="F43" s="1">
        <v>1932</v>
      </c>
      <c r="G43" s="1" t="s">
        <v>21</v>
      </c>
      <c r="H43" s="1">
        <v>1.725</v>
      </c>
      <c r="I43" s="1">
        <v>1.696</v>
      </c>
      <c r="J43" s="1">
        <v>35.4955611427554</v>
      </c>
      <c r="K43" t="str">
        <f t="shared" si="0"/>
        <v>缺口合适</v>
      </c>
      <c r="L43" s="2">
        <f t="shared" si="1"/>
        <v>1750</v>
      </c>
      <c r="M43" s="2">
        <f t="shared" si="2"/>
        <v>3018.75</v>
      </c>
      <c r="N43" s="2">
        <f t="shared" si="3"/>
        <v>1086.75</v>
      </c>
      <c r="O43" s="2">
        <f t="shared" si="4"/>
        <v>561.55</v>
      </c>
      <c r="P43" s="2">
        <f t="shared" si="5"/>
        <v>1123.1</v>
      </c>
    </row>
    <row r="44" spans="1:16">
      <c r="A44" s="1">
        <v>43</v>
      </c>
      <c r="B44" s="1">
        <v>29</v>
      </c>
      <c r="C44" s="1" t="s">
        <v>18</v>
      </c>
      <c r="D44" s="1">
        <v>164.9</v>
      </c>
      <c r="E44" s="1">
        <v>65.7</v>
      </c>
      <c r="F44" s="1">
        <v>2330</v>
      </c>
      <c r="G44" s="1" t="s">
        <v>19</v>
      </c>
      <c r="H44" s="1">
        <v>1.2</v>
      </c>
      <c r="I44" s="1">
        <v>1.649</v>
      </c>
      <c r="J44" s="1">
        <v>24.1615092080357</v>
      </c>
      <c r="K44" t="str">
        <f t="shared" si="0"/>
        <v>没有热量缺口</v>
      </c>
      <c r="L44" s="2">
        <f t="shared" si="1"/>
        <v>1381.625</v>
      </c>
      <c r="M44" s="2">
        <f t="shared" si="2"/>
        <v>1657.95</v>
      </c>
      <c r="N44" s="2">
        <f t="shared" si="3"/>
        <v>-672.05</v>
      </c>
      <c r="O44" s="2">
        <f t="shared" si="4"/>
        <v>361.35</v>
      </c>
      <c r="P44" s="2">
        <f t="shared" si="5"/>
        <v>722.7</v>
      </c>
    </row>
    <row r="45" spans="1:16">
      <c r="A45" s="1">
        <v>44</v>
      </c>
      <c r="B45" s="1">
        <v>31</v>
      </c>
      <c r="C45" s="1" t="s">
        <v>18</v>
      </c>
      <c r="D45" s="1">
        <v>167.3</v>
      </c>
      <c r="E45" s="1">
        <v>80.1</v>
      </c>
      <c r="F45" s="1">
        <v>2298</v>
      </c>
      <c r="G45" s="1" t="s">
        <v>17</v>
      </c>
      <c r="H45" s="1">
        <v>1.375</v>
      </c>
      <c r="I45" s="1">
        <v>1.673</v>
      </c>
      <c r="J45" s="1">
        <v>28.618089276291</v>
      </c>
      <c r="K45" t="str">
        <f t="shared" si="0"/>
        <v>没有热量缺口</v>
      </c>
      <c r="L45" s="2">
        <f t="shared" si="1"/>
        <v>1530.625</v>
      </c>
      <c r="M45" s="2">
        <f t="shared" si="2"/>
        <v>2104.609375</v>
      </c>
      <c r="N45" s="2">
        <f t="shared" si="3"/>
        <v>-193.390625</v>
      </c>
      <c r="O45" s="2">
        <f t="shared" si="4"/>
        <v>440.55</v>
      </c>
      <c r="P45" s="2">
        <f t="shared" si="5"/>
        <v>881.1</v>
      </c>
    </row>
    <row r="46" spans="1:16">
      <c r="A46" s="1">
        <v>45</v>
      </c>
      <c r="B46" s="1">
        <v>31</v>
      </c>
      <c r="C46" s="1" t="s">
        <v>18</v>
      </c>
      <c r="D46" s="1">
        <v>160</v>
      </c>
      <c r="E46" s="1">
        <v>106.1</v>
      </c>
      <c r="F46" s="1">
        <v>2404</v>
      </c>
      <c r="G46" s="1" t="s">
        <v>19</v>
      </c>
      <c r="H46" s="1">
        <v>1.2</v>
      </c>
      <c r="I46" s="1">
        <v>1.6</v>
      </c>
      <c r="J46" s="1">
        <v>41.4453124999999</v>
      </c>
      <c r="K46" t="str">
        <f t="shared" si="0"/>
        <v>没有热量缺口</v>
      </c>
      <c r="L46" s="2">
        <f t="shared" si="1"/>
        <v>1745</v>
      </c>
      <c r="M46" s="2">
        <f t="shared" si="2"/>
        <v>2094</v>
      </c>
      <c r="N46" s="2">
        <f t="shared" si="3"/>
        <v>-310</v>
      </c>
      <c r="O46" s="2">
        <f t="shared" si="4"/>
        <v>583.55</v>
      </c>
      <c r="P46" s="2">
        <f t="shared" si="5"/>
        <v>1167.1</v>
      </c>
    </row>
    <row r="47" spans="1:16">
      <c r="A47" s="1">
        <v>46</v>
      </c>
      <c r="B47" s="1">
        <v>26</v>
      </c>
      <c r="C47" s="1" t="s">
        <v>18</v>
      </c>
      <c r="D47" s="1">
        <v>168.1</v>
      </c>
      <c r="E47" s="1">
        <v>75.5</v>
      </c>
      <c r="F47" s="1">
        <v>2641</v>
      </c>
      <c r="G47" s="1" t="s">
        <v>21</v>
      </c>
      <c r="H47" s="1">
        <v>1.725</v>
      </c>
      <c r="I47" s="1">
        <v>1.681</v>
      </c>
      <c r="J47" s="1">
        <v>26.7184662821802</v>
      </c>
      <c r="K47" t="str">
        <f t="shared" si="0"/>
        <v>没有热量缺口</v>
      </c>
      <c r="L47" s="2">
        <f t="shared" si="1"/>
        <v>1514.625</v>
      </c>
      <c r="M47" s="2">
        <f t="shared" si="2"/>
        <v>2612.728125</v>
      </c>
      <c r="N47" s="2">
        <f t="shared" si="3"/>
        <v>-28.2718749999999</v>
      </c>
      <c r="O47" s="2">
        <f t="shared" si="4"/>
        <v>415.25</v>
      </c>
      <c r="P47" s="2">
        <f t="shared" si="5"/>
        <v>830.5</v>
      </c>
    </row>
    <row r="48" spans="1:16">
      <c r="A48" s="1">
        <v>47</v>
      </c>
      <c r="B48" s="1">
        <v>25</v>
      </c>
      <c r="C48" s="1" t="s">
        <v>18</v>
      </c>
      <c r="D48" s="1">
        <v>158.6</v>
      </c>
      <c r="E48" s="1">
        <v>63.5</v>
      </c>
      <c r="F48" s="1">
        <v>2988</v>
      </c>
      <c r="G48" s="1" t="s">
        <v>20</v>
      </c>
      <c r="H48" s="1">
        <v>1.55</v>
      </c>
      <c r="I48" s="1">
        <v>1.58599999999999</v>
      </c>
      <c r="J48" s="1">
        <v>25.244534061436</v>
      </c>
      <c r="K48" t="str">
        <f t="shared" si="0"/>
        <v>没有热量缺口</v>
      </c>
      <c r="L48" s="2">
        <f t="shared" si="1"/>
        <v>1340.25</v>
      </c>
      <c r="M48" s="2">
        <f t="shared" si="2"/>
        <v>2077.3875</v>
      </c>
      <c r="N48" s="2">
        <f t="shared" si="3"/>
        <v>-910.6125</v>
      </c>
      <c r="O48" s="2">
        <f t="shared" si="4"/>
        <v>349.25</v>
      </c>
      <c r="P48" s="2">
        <f t="shared" si="5"/>
        <v>698.5</v>
      </c>
    </row>
    <row r="49" spans="1:16">
      <c r="A49" s="1">
        <v>48</v>
      </c>
      <c r="B49" s="1">
        <v>34</v>
      </c>
      <c r="C49" s="1" t="s">
        <v>16</v>
      </c>
      <c r="D49" s="1">
        <v>173.5</v>
      </c>
      <c r="E49" s="1">
        <v>90.3</v>
      </c>
      <c r="F49" s="1">
        <v>2587</v>
      </c>
      <c r="G49" s="1" t="s">
        <v>21</v>
      </c>
      <c r="H49" s="1">
        <v>1.725</v>
      </c>
      <c r="I49" s="1">
        <v>1.735</v>
      </c>
      <c r="J49" s="1">
        <v>29.9977576427011</v>
      </c>
      <c r="K49" t="str">
        <f t="shared" si="0"/>
        <v>缺口合适</v>
      </c>
      <c r="L49" s="2">
        <f t="shared" si="1"/>
        <v>1822.375</v>
      </c>
      <c r="M49" s="2">
        <f t="shared" si="2"/>
        <v>3143.596875</v>
      </c>
      <c r="N49" s="2">
        <f t="shared" si="3"/>
        <v>556.596875</v>
      </c>
      <c r="O49" s="2">
        <f t="shared" si="4"/>
        <v>496.65</v>
      </c>
      <c r="P49" s="2">
        <f t="shared" si="5"/>
        <v>993.3</v>
      </c>
    </row>
    <row r="50" spans="1:16">
      <c r="A50" s="1">
        <v>49</v>
      </c>
      <c r="B50" s="1">
        <v>32</v>
      </c>
      <c r="C50" s="1" t="s">
        <v>18</v>
      </c>
      <c r="D50" s="1">
        <v>156.9</v>
      </c>
      <c r="E50" s="1">
        <v>70.4</v>
      </c>
      <c r="F50" s="1">
        <v>1859</v>
      </c>
      <c r="G50" s="1" t="s">
        <v>19</v>
      </c>
      <c r="H50" s="1">
        <v>1.2</v>
      </c>
      <c r="I50" s="1">
        <v>1.569</v>
      </c>
      <c r="J50" s="1">
        <v>28.5974146149849</v>
      </c>
      <c r="K50" t="str">
        <f t="shared" si="0"/>
        <v>没有热量缺口</v>
      </c>
      <c r="L50" s="2">
        <f t="shared" si="1"/>
        <v>1363.625</v>
      </c>
      <c r="M50" s="2">
        <f t="shared" si="2"/>
        <v>1636.35</v>
      </c>
      <c r="N50" s="2">
        <f t="shared" si="3"/>
        <v>-222.65</v>
      </c>
      <c r="O50" s="2">
        <f t="shared" si="4"/>
        <v>387.2</v>
      </c>
      <c r="P50" s="2">
        <f t="shared" si="5"/>
        <v>774.4</v>
      </c>
    </row>
    <row r="51" spans="1:16">
      <c r="A51" s="1">
        <v>50</v>
      </c>
      <c r="B51" s="1">
        <v>23</v>
      </c>
      <c r="C51" s="1" t="s">
        <v>16</v>
      </c>
      <c r="D51" s="1">
        <v>171.3</v>
      </c>
      <c r="E51" s="1">
        <v>86.5</v>
      </c>
      <c r="F51" s="1">
        <v>1773</v>
      </c>
      <c r="G51" s="1" t="s">
        <v>17</v>
      </c>
      <c r="H51" s="1">
        <v>1.375</v>
      </c>
      <c r="I51" s="1">
        <v>1.713</v>
      </c>
      <c r="J51" s="1">
        <v>29.4782285390828</v>
      </c>
      <c r="K51" t="str">
        <f t="shared" si="0"/>
        <v>缺口合适</v>
      </c>
      <c r="L51" s="2">
        <f t="shared" si="1"/>
        <v>1825.625</v>
      </c>
      <c r="M51" s="2">
        <f t="shared" si="2"/>
        <v>2510.234375</v>
      </c>
      <c r="N51" s="2">
        <f t="shared" si="3"/>
        <v>737.234375</v>
      </c>
      <c r="O51" s="2">
        <f t="shared" si="4"/>
        <v>475.75</v>
      </c>
      <c r="P51" s="2">
        <f t="shared" si="5"/>
        <v>951.5</v>
      </c>
    </row>
    <row r="52" spans="1:16">
      <c r="A52" s="1">
        <v>51</v>
      </c>
      <c r="B52" s="1">
        <v>20</v>
      </c>
      <c r="C52" s="1" t="s">
        <v>18</v>
      </c>
      <c r="D52" s="1">
        <v>167.8</v>
      </c>
      <c r="E52" s="1">
        <v>110.6</v>
      </c>
      <c r="F52" s="1">
        <v>1327</v>
      </c>
      <c r="G52" s="1" t="s">
        <v>21</v>
      </c>
      <c r="H52" s="1">
        <v>1.725</v>
      </c>
      <c r="I52" s="1">
        <v>1.678</v>
      </c>
      <c r="J52" s="1">
        <v>39.2799760200363</v>
      </c>
      <c r="K52" t="str">
        <f t="shared" si="0"/>
        <v>缺口过大</v>
      </c>
      <c r="L52" s="2">
        <f t="shared" si="1"/>
        <v>1893.75</v>
      </c>
      <c r="M52" s="2">
        <f t="shared" si="2"/>
        <v>3266.71875</v>
      </c>
      <c r="N52" s="2">
        <f t="shared" si="3"/>
        <v>1939.71875</v>
      </c>
      <c r="O52" s="2">
        <f t="shared" si="4"/>
        <v>608.3</v>
      </c>
      <c r="P52" s="2">
        <f t="shared" si="5"/>
        <v>1216.6</v>
      </c>
    </row>
    <row r="53" spans="1:16">
      <c r="A53" s="1">
        <v>52</v>
      </c>
      <c r="B53" s="1">
        <v>30</v>
      </c>
      <c r="C53" s="1" t="s">
        <v>18</v>
      </c>
      <c r="D53" s="1">
        <v>167</v>
      </c>
      <c r="E53" s="1">
        <v>79.2</v>
      </c>
      <c r="F53" s="1">
        <v>1184</v>
      </c>
      <c r="G53" s="1" t="s">
        <v>17</v>
      </c>
      <c r="H53" s="1">
        <v>1.375</v>
      </c>
      <c r="I53" s="1">
        <v>1.67</v>
      </c>
      <c r="J53" s="1">
        <v>28.3982932338915</v>
      </c>
      <c r="K53" t="str">
        <f t="shared" si="0"/>
        <v>缺口过大</v>
      </c>
      <c r="L53" s="2">
        <f t="shared" si="1"/>
        <v>1524.75</v>
      </c>
      <c r="M53" s="2">
        <f t="shared" si="2"/>
        <v>2096.53125</v>
      </c>
      <c r="N53" s="2">
        <f t="shared" si="3"/>
        <v>912.53125</v>
      </c>
      <c r="O53" s="2">
        <f t="shared" si="4"/>
        <v>435.6</v>
      </c>
      <c r="P53" s="2">
        <f t="shared" si="5"/>
        <v>871.2</v>
      </c>
    </row>
    <row r="54" spans="1:16">
      <c r="A54" s="1">
        <v>53</v>
      </c>
      <c r="B54" s="1">
        <v>35</v>
      </c>
      <c r="C54" s="1" t="s">
        <v>16</v>
      </c>
      <c r="D54" s="1">
        <v>186.6</v>
      </c>
      <c r="E54" s="1">
        <v>90.5</v>
      </c>
      <c r="F54" s="1">
        <v>1679</v>
      </c>
      <c r="G54" s="1" t="s">
        <v>21</v>
      </c>
      <c r="H54" s="1">
        <v>1.725</v>
      </c>
      <c r="I54" s="1">
        <v>1.86599999999999</v>
      </c>
      <c r="J54" s="1">
        <v>25.9911383142119</v>
      </c>
      <c r="K54" t="str">
        <f t="shared" si="0"/>
        <v>缺口过大</v>
      </c>
      <c r="L54" s="2">
        <f t="shared" si="1"/>
        <v>1901.25</v>
      </c>
      <c r="M54" s="2">
        <f t="shared" si="2"/>
        <v>3279.65625</v>
      </c>
      <c r="N54" s="2">
        <f t="shared" si="3"/>
        <v>1600.65625</v>
      </c>
      <c r="O54" s="2">
        <f t="shared" si="4"/>
        <v>497.75</v>
      </c>
      <c r="P54" s="2">
        <f t="shared" si="5"/>
        <v>995.5</v>
      </c>
    </row>
    <row r="55" spans="1:16">
      <c r="A55" s="1">
        <v>54</v>
      </c>
      <c r="B55" s="1">
        <v>32</v>
      </c>
      <c r="C55" s="1" t="s">
        <v>18</v>
      </c>
      <c r="D55" s="1">
        <v>160.3</v>
      </c>
      <c r="E55" s="1">
        <v>75.8</v>
      </c>
      <c r="F55" s="1">
        <v>1079</v>
      </c>
      <c r="G55" s="1" t="s">
        <v>17</v>
      </c>
      <c r="H55" s="1">
        <v>1.375</v>
      </c>
      <c r="I55" s="1">
        <v>1.603</v>
      </c>
      <c r="J55" s="1">
        <v>29.4986513512366</v>
      </c>
      <c r="K55" t="str">
        <f t="shared" si="0"/>
        <v>缺口过大</v>
      </c>
      <c r="L55" s="2">
        <f t="shared" si="1"/>
        <v>1438.875</v>
      </c>
      <c r="M55" s="2">
        <f t="shared" si="2"/>
        <v>1978.453125</v>
      </c>
      <c r="N55" s="2">
        <f t="shared" si="3"/>
        <v>899.453125</v>
      </c>
      <c r="O55" s="2">
        <f t="shared" si="4"/>
        <v>416.9</v>
      </c>
      <c r="P55" s="2">
        <f t="shared" si="5"/>
        <v>833.8</v>
      </c>
    </row>
    <row r="56" spans="1:16">
      <c r="A56" s="1">
        <v>55</v>
      </c>
      <c r="B56" s="1">
        <v>35</v>
      </c>
      <c r="C56" s="1" t="s">
        <v>18</v>
      </c>
      <c r="D56" s="1">
        <v>161.5</v>
      </c>
      <c r="E56" s="1">
        <v>126</v>
      </c>
      <c r="F56" s="1">
        <v>1772</v>
      </c>
      <c r="G56" s="1" t="s">
        <v>21</v>
      </c>
      <c r="H56" s="1">
        <v>1.725</v>
      </c>
      <c r="I56" s="1">
        <v>1.615</v>
      </c>
      <c r="J56" s="1">
        <v>48.308715697457</v>
      </c>
      <c r="K56" t="str">
        <f t="shared" si="0"/>
        <v>缺口过大</v>
      </c>
      <c r="L56" s="2">
        <f t="shared" si="1"/>
        <v>1933.375</v>
      </c>
      <c r="M56" s="2">
        <f t="shared" si="2"/>
        <v>3335.071875</v>
      </c>
      <c r="N56" s="2">
        <f t="shared" si="3"/>
        <v>1563.071875</v>
      </c>
      <c r="O56" s="2">
        <f t="shared" si="4"/>
        <v>693</v>
      </c>
      <c r="P56" s="2">
        <f t="shared" si="5"/>
        <v>1386</v>
      </c>
    </row>
    <row r="57" spans="1:16">
      <c r="A57" s="1">
        <v>56</v>
      </c>
      <c r="B57" s="1">
        <v>35</v>
      </c>
      <c r="C57" s="1" t="s">
        <v>16</v>
      </c>
      <c r="D57" s="1">
        <v>181.2</v>
      </c>
      <c r="E57" s="1">
        <v>77.9</v>
      </c>
      <c r="F57" s="1">
        <v>1120</v>
      </c>
      <c r="G57" s="1" t="s">
        <v>21</v>
      </c>
      <c r="H57" s="1">
        <v>1.725</v>
      </c>
      <c r="I57" s="1">
        <v>1.81199999999999</v>
      </c>
      <c r="J57" s="1">
        <v>23.7258112460954</v>
      </c>
      <c r="K57" t="str">
        <f t="shared" si="0"/>
        <v>缺口过大</v>
      </c>
      <c r="L57" s="2">
        <f t="shared" si="1"/>
        <v>1741.5</v>
      </c>
      <c r="M57" s="2">
        <f t="shared" si="2"/>
        <v>3004.0875</v>
      </c>
      <c r="N57" s="2">
        <f t="shared" si="3"/>
        <v>1884.0875</v>
      </c>
      <c r="O57" s="2">
        <f t="shared" si="4"/>
        <v>428.45</v>
      </c>
      <c r="P57" s="2">
        <f t="shared" si="5"/>
        <v>856.9</v>
      </c>
    </row>
    <row r="58" spans="1:16">
      <c r="A58" s="1">
        <v>57</v>
      </c>
      <c r="B58" s="1">
        <v>23</v>
      </c>
      <c r="C58" s="1" t="s">
        <v>16</v>
      </c>
      <c r="D58" s="1">
        <v>185.4</v>
      </c>
      <c r="E58" s="1">
        <v>86.6</v>
      </c>
      <c r="F58" s="1">
        <v>2285</v>
      </c>
      <c r="G58" s="1" t="s">
        <v>21</v>
      </c>
      <c r="H58" s="1">
        <v>1.725</v>
      </c>
      <c r="I58" s="1">
        <v>1.854</v>
      </c>
      <c r="J58" s="1">
        <v>25.194075842896</v>
      </c>
      <c r="K58" t="str">
        <f t="shared" si="0"/>
        <v>缺口过大</v>
      </c>
      <c r="L58" s="2">
        <f t="shared" si="1"/>
        <v>1914.75</v>
      </c>
      <c r="M58" s="2">
        <f t="shared" si="2"/>
        <v>3302.94375</v>
      </c>
      <c r="N58" s="2">
        <f t="shared" si="3"/>
        <v>1017.94375</v>
      </c>
      <c r="O58" s="2">
        <f t="shared" si="4"/>
        <v>476.3</v>
      </c>
      <c r="P58" s="2">
        <f t="shared" si="5"/>
        <v>952.6</v>
      </c>
    </row>
    <row r="59" spans="1:16">
      <c r="A59" s="1">
        <v>58</v>
      </c>
      <c r="B59" s="1">
        <v>32</v>
      </c>
      <c r="C59" s="1" t="s">
        <v>16</v>
      </c>
      <c r="D59" s="1">
        <v>183</v>
      </c>
      <c r="E59" s="1">
        <v>76.5</v>
      </c>
      <c r="F59" s="1">
        <v>3571</v>
      </c>
      <c r="G59" s="1" t="s">
        <v>17</v>
      </c>
      <c r="H59" s="1">
        <v>1.375</v>
      </c>
      <c r="I59" s="1">
        <v>1.83</v>
      </c>
      <c r="J59" s="1">
        <v>22.8433216877183</v>
      </c>
      <c r="K59" t="str">
        <f t="shared" si="0"/>
        <v>没有热量缺口</v>
      </c>
      <c r="L59" s="2">
        <f t="shared" si="1"/>
        <v>1753.75</v>
      </c>
      <c r="M59" s="2">
        <f t="shared" si="2"/>
        <v>2411.40625</v>
      </c>
      <c r="N59" s="2">
        <f t="shared" si="3"/>
        <v>-1159.59375</v>
      </c>
      <c r="O59" s="2">
        <f t="shared" si="4"/>
        <v>420.75</v>
      </c>
      <c r="P59" s="2">
        <f t="shared" si="5"/>
        <v>841.5</v>
      </c>
    </row>
    <row r="60" spans="1:16">
      <c r="A60" s="1">
        <v>59</v>
      </c>
      <c r="B60" s="1">
        <v>22</v>
      </c>
      <c r="C60" s="1" t="s">
        <v>18</v>
      </c>
      <c r="D60" s="1">
        <v>162.9</v>
      </c>
      <c r="E60" s="1">
        <v>69.2</v>
      </c>
      <c r="F60" s="1">
        <v>2042</v>
      </c>
      <c r="G60" s="1" t="s">
        <v>19</v>
      </c>
      <c r="H60" s="1">
        <v>1.2</v>
      </c>
      <c r="I60" s="1">
        <v>1.629</v>
      </c>
      <c r="J60" s="1">
        <v>26.0773782135563</v>
      </c>
      <c r="K60" t="str">
        <f t="shared" si="0"/>
        <v>没有热量缺口</v>
      </c>
      <c r="L60" s="2">
        <f t="shared" si="1"/>
        <v>1439.125</v>
      </c>
      <c r="M60" s="2">
        <f t="shared" si="2"/>
        <v>1726.95</v>
      </c>
      <c r="N60" s="2">
        <f t="shared" si="3"/>
        <v>-315.05</v>
      </c>
      <c r="O60" s="2">
        <f t="shared" si="4"/>
        <v>380.6</v>
      </c>
      <c r="P60" s="2">
        <f t="shared" si="5"/>
        <v>761.2</v>
      </c>
    </row>
    <row r="61" spans="1:16">
      <c r="A61" s="1">
        <v>60</v>
      </c>
      <c r="B61" s="1">
        <v>27</v>
      </c>
      <c r="C61" s="1" t="s">
        <v>18</v>
      </c>
      <c r="D61" s="1">
        <v>164</v>
      </c>
      <c r="E61" s="1">
        <v>58.2</v>
      </c>
      <c r="F61" s="1">
        <v>4550</v>
      </c>
      <c r="G61" s="1" t="s">
        <v>20</v>
      </c>
      <c r="H61" s="1">
        <v>1.55</v>
      </c>
      <c r="I61" s="1">
        <v>1.64</v>
      </c>
      <c r="J61" s="1">
        <v>21.6389054134443</v>
      </c>
      <c r="K61" t="str">
        <f t="shared" si="0"/>
        <v>没有热量缺口</v>
      </c>
      <c r="L61" s="2">
        <f t="shared" si="1"/>
        <v>1311</v>
      </c>
      <c r="M61" s="2">
        <f t="shared" si="2"/>
        <v>2032.05</v>
      </c>
      <c r="N61" s="2">
        <f t="shared" si="3"/>
        <v>-2517.95</v>
      </c>
      <c r="O61" s="2">
        <f t="shared" si="4"/>
        <v>320.1</v>
      </c>
      <c r="P61" s="2">
        <f t="shared" si="5"/>
        <v>640.2</v>
      </c>
    </row>
    <row r="62" spans="1:16">
      <c r="A62" s="1">
        <v>61</v>
      </c>
      <c r="B62" s="1">
        <v>28</v>
      </c>
      <c r="C62" s="1" t="s">
        <v>18</v>
      </c>
      <c r="D62" s="1">
        <v>173.4</v>
      </c>
      <c r="E62" s="1">
        <v>97.8</v>
      </c>
      <c r="F62" s="1">
        <v>2410</v>
      </c>
      <c r="G62" s="1" t="s">
        <v>21</v>
      </c>
      <c r="H62" s="1">
        <v>1.725</v>
      </c>
      <c r="I62" s="1">
        <v>1.734</v>
      </c>
      <c r="J62" s="1">
        <v>32.5267497595415</v>
      </c>
      <c r="K62" t="str">
        <f t="shared" si="0"/>
        <v>缺口合适</v>
      </c>
      <c r="L62" s="2">
        <f t="shared" si="1"/>
        <v>1760.75</v>
      </c>
      <c r="M62" s="2">
        <f t="shared" si="2"/>
        <v>3037.29375</v>
      </c>
      <c r="N62" s="2">
        <f t="shared" si="3"/>
        <v>627.29375</v>
      </c>
      <c r="O62" s="2">
        <f t="shared" si="4"/>
        <v>537.9</v>
      </c>
      <c r="P62" s="2">
        <f t="shared" si="5"/>
        <v>1075.8</v>
      </c>
    </row>
    <row r="63" spans="1:16">
      <c r="A63" s="1">
        <v>62</v>
      </c>
      <c r="B63" s="1">
        <v>35</v>
      </c>
      <c r="C63" s="1" t="s">
        <v>16</v>
      </c>
      <c r="D63" s="1">
        <v>172</v>
      </c>
      <c r="E63" s="1">
        <v>92</v>
      </c>
      <c r="F63" s="1">
        <v>2402</v>
      </c>
      <c r="G63" s="1" t="s">
        <v>19</v>
      </c>
      <c r="H63" s="1">
        <v>1.2</v>
      </c>
      <c r="I63" s="1">
        <v>1.72</v>
      </c>
      <c r="J63" s="1">
        <v>31.0978907517577</v>
      </c>
      <c r="K63" t="str">
        <f t="shared" si="0"/>
        <v>没有热量缺口</v>
      </c>
      <c r="L63" s="2">
        <f t="shared" si="1"/>
        <v>1825</v>
      </c>
      <c r="M63" s="2">
        <f t="shared" si="2"/>
        <v>2190</v>
      </c>
      <c r="N63" s="2">
        <f t="shared" si="3"/>
        <v>-212</v>
      </c>
      <c r="O63" s="2">
        <f t="shared" si="4"/>
        <v>506</v>
      </c>
      <c r="P63" s="2">
        <f t="shared" si="5"/>
        <v>1012</v>
      </c>
    </row>
    <row r="64" spans="1:16">
      <c r="A64" s="1">
        <v>63</v>
      </c>
      <c r="B64" s="1">
        <v>31</v>
      </c>
      <c r="C64" s="1" t="s">
        <v>18</v>
      </c>
      <c r="D64" s="1">
        <v>163.9</v>
      </c>
      <c r="E64" s="1">
        <v>70.1</v>
      </c>
      <c r="F64" s="1">
        <v>1702</v>
      </c>
      <c r="G64" s="1" t="s">
        <v>17</v>
      </c>
      <c r="H64" s="1">
        <v>1.375</v>
      </c>
      <c r="I64" s="1">
        <v>1.639</v>
      </c>
      <c r="J64" s="1">
        <v>26.0951688201075</v>
      </c>
      <c r="K64" t="str">
        <f t="shared" si="0"/>
        <v>缺口过小</v>
      </c>
      <c r="L64" s="2">
        <f t="shared" si="1"/>
        <v>1409.375</v>
      </c>
      <c r="M64" s="2">
        <f t="shared" si="2"/>
        <v>1937.890625</v>
      </c>
      <c r="N64" s="2">
        <f t="shared" si="3"/>
        <v>235.890625</v>
      </c>
      <c r="O64" s="2">
        <f t="shared" si="4"/>
        <v>385.55</v>
      </c>
      <c r="P64" s="2">
        <f t="shared" si="5"/>
        <v>771.1</v>
      </c>
    </row>
    <row r="65" spans="1:16">
      <c r="A65" s="1">
        <v>64</v>
      </c>
      <c r="B65" s="1">
        <v>35</v>
      </c>
      <c r="C65" s="1" t="s">
        <v>16</v>
      </c>
      <c r="D65" s="1">
        <v>184.9</v>
      </c>
      <c r="E65" s="1">
        <v>85.5</v>
      </c>
      <c r="F65" s="1">
        <v>1359</v>
      </c>
      <c r="G65" s="1" t="s">
        <v>17</v>
      </c>
      <c r="H65" s="1">
        <v>1.375</v>
      </c>
      <c r="I65" s="1">
        <v>1.849</v>
      </c>
      <c r="J65" s="1">
        <v>25.0087676937031</v>
      </c>
      <c r="K65" t="str">
        <f t="shared" si="0"/>
        <v>缺口过大</v>
      </c>
      <c r="L65" s="2">
        <f t="shared" si="1"/>
        <v>1840.625</v>
      </c>
      <c r="M65" s="2">
        <f t="shared" si="2"/>
        <v>2530.859375</v>
      </c>
      <c r="N65" s="2">
        <f t="shared" si="3"/>
        <v>1171.859375</v>
      </c>
      <c r="O65" s="2">
        <f t="shared" si="4"/>
        <v>470.25</v>
      </c>
      <c r="P65" s="2">
        <f t="shared" si="5"/>
        <v>940.5</v>
      </c>
    </row>
    <row r="66" spans="1:16">
      <c r="A66" s="1">
        <v>65</v>
      </c>
      <c r="B66" s="1">
        <v>35</v>
      </c>
      <c r="C66" s="1" t="s">
        <v>18</v>
      </c>
      <c r="D66" s="1">
        <v>163.4</v>
      </c>
      <c r="E66" s="1">
        <v>65.5</v>
      </c>
      <c r="F66" s="1">
        <v>1693</v>
      </c>
      <c r="G66" s="1" t="s">
        <v>20</v>
      </c>
      <c r="H66" s="1">
        <v>1.55</v>
      </c>
      <c r="I66" s="1">
        <v>1.634</v>
      </c>
      <c r="J66" s="1">
        <v>24.5322394825982</v>
      </c>
      <c r="K66" t="str">
        <f t="shared" ref="K66:K129" si="6">IF(N66&lt;=0,"没有热量缺口",IF(N66&lt;O66,"缺口过小",IF(N66&lt;=P66,"缺口合适","缺口过大")))</f>
        <v>缺口合适</v>
      </c>
      <c r="L66" s="2">
        <f t="shared" ref="L66:L129" si="7">IF(C66="male",10*E66+6.25*D66-5*B66+5,10*E66+6.25*D66-5*B66-161)</f>
        <v>1340.25</v>
      </c>
      <c r="M66" s="2">
        <f t="shared" ref="M66:M129" si="8">L66*H66</f>
        <v>2077.3875</v>
      </c>
      <c r="N66" s="2">
        <f t="shared" ref="N66:N129" si="9">M66-F66</f>
        <v>384.3875</v>
      </c>
      <c r="O66" s="2">
        <f t="shared" ref="O66:O129" si="10">E66*0.005*7700/7</f>
        <v>360.25</v>
      </c>
      <c r="P66" s="2">
        <f t="shared" ref="P66:P129" si="11">E66*0.01*7700/7</f>
        <v>720.5</v>
      </c>
    </row>
    <row r="67" spans="1:16">
      <c r="A67" s="1">
        <v>66</v>
      </c>
      <c r="B67" s="1">
        <v>22</v>
      </c>
      <c r="C67" s="1" t="s">
        <v>16</v>
      </c>
      <c r="D67" s="1">
        <v>182.4</v>
      </c>
      <c r="E67" s="1">
        <v>104.9</v>
      </c>
      <c r="F67" s="1">
        <v>1964</v>
      </c>
      <c r="G67" s="1" t="s">
        <v>17</v>
      </c>
      <c r="H67" s="1">
        <v>1.375</v>
      </c>
      <c r="I67" s="1">
        <v>1.824</v>
      </c>
      <c r="J67" s="1">
        <v>31.5301342720837</v>
      </c>
      <c r="K67" t="str">
        <f t="shared" si="6"/>
        <v>缺口合适</v>
      </c>
      <c r="L67" s="2">
        <f t="shared" si="7"/>
        <v>2084</v>
      </c>
      <c r="M67" s="2">
        <f t="shared" si="8"/>
        <v>2865.5</v>
      </c>
      <c r="N67" s="2">
        <f t="shared" si="9"/>
        <v>901.5</v>
      </c>
      <c r="O67" s="2">
        <f t="shared" si="10"/>
        <v>576.95</v>
      </c>
      <c r="P67" s="2">
        <f t="shared" si="11"/>
        <v>1153.9</v>
      </c>
    </row>
    <row r="68" spans="1:16">
      <c r="A68" s="1">
        <v>67</v>
      </c>
      <c r="B68" s="1">
        <v>21</v>
      </c>
      <c r="C68" s="1" t="s">
        <v>18</v>
      </c>
      <c r="D68" s="1">
        <v>166.9</v>
      </c>
      <c r="E68" s="1">
        <v>58.6</v>
      </c>
      <c r="F68" s="1">
        <v>3141</v>
      </c>
      <c r="G68" s="1" t="s">
        <v>17</v>
      </c>
      <c r="H68" s="1">
        <v>1.375</v>
      </c>
      <c r="I68" s="1">
        <v>1.669</v>
      </c>
      <c r="J68" s="1">
        <v>21.0370550133348</v>
      </c>
      <c r="K68" t="str">
        <f t="shared" si="6"/>
        <v>没有热量缺口</v>
      </c>
      <c r="L68" s="2">
        <f t="shared" si="7"/>
        <v>1363.125</v>
      </c>
      <c r="M68" s="2">
        <f t="shared" si="8"/>
        <v>1874.296875</v>
      </c>
      <c r="N68" s="2">
        <f t="shared" si="9"/>
        <v>-1266.703125</v>
      </c>
      <c r="O68" s="2">
        <f t="shared" si="10"/>
        <v>322.3</v>
      </c>
      <c r="P68" s="2">
        <f t="shared" si="11"/>
        <v>644.6</v>
      </c>
    </row>
    <row r="69" spans="1:16">
      <c r="A69" s="1">
        <v>68</v>
      </c>
      <c r="B69" s="1">
        <v>23</v>
      </c>
      <c r="C69" s="1" t="s">
        <v>16</v>
      </c>
      <c r="D69" s="1">
        <v>175.7</v>
      </c>
      <c r="E69" s="1">
        <v>75.3</v>
      </c>
      <c r="F69" s="1">
        <v>3380</v>
      </c>
      <c r="G69" s="1" t="s">
        <v>21</v>
      </c>
      <c r="H69" s="1">
        <v>1.725</v>
      </c>
      <c r="I69" s="1">
        <v>1.757</v>
      </c>
      <c r="J69" s="1">
        <v>24.392227010326</v>
      </c>
      <c r="K69" t="str">
        <f t="shared" si="6"/>
        <v>没有热量缺口</v>
      </c>
      <c r="L69" s="2">
        <f t="shared" si="7"/>
        <v>1741.125</v>
      </c>
      <c r="M69" s="2">
        <f t="shared" si="8"/>
        <v>3003.440625</v>
      </c>
      <c r="N69" s="2">
        <f t="shared" si="9"/>
        <v>-376.559375</v>
      </c>
      <c r="O69" s="2">
        <f t="shared" si="10"/>
        <v>414.15</v>
      </c>
      <c r="P69" s="2">
        <f t="shared" si="11"/>
        <v>828.3</v>
      </c>
    </row>
    <row r="70" spans="1:16">
      <c r="A70" s="1">
        <v>69</v>
      </c>
      <c r="B70" s="1">
        <v>23</v>
      </c>
      <c r="C70" s="1" t="s">
        <v>18</v>
      </c>
      <c r="D70" s="1">
        <v>164.8</v>
      </c>
      <c r="E70" s="1">
        <v>64.5</v>
      </c>
      <c r="F70" s="1">
        <v>1959</v>
      </c>
      <c r="G70" s="1" t="s">
        <v>17</v>
      </c>
      <c r="H70" s="1">
        <v>1.375</v>
      </c>
      <c r="I70" s="1">
        <v>1.648</v>
      </c>
      <c r="J70" s="1">
        <v>23.7489984918465</v>
      </c>
      <c r="K70" t="str">
        <f t="shared" si="6"/>
        <v>没有热量缺口</v>
      </c>
      <c r="L70" s="2">
        <f t="shared" si="7"/>
        <v>1399</v>
      </c>
      <c r="M70" s="2">
        <f t="shared" si="8"/>
        <v>1923.625</v>
      </c>
      <c r="N70" s="2">
        <f t="shared" si="9"/>
        <v>-35.375</v>
      </c>
      <c r="O70" s="2">
        <f t="shared" si="10"/>
        <v>354.75</v>
      </c>
      <c r="P70" s="2">
        <f t="shared" si="11"/>
        <v>709.5</v>
      </c>
    </row>
    <row r="71" spans="1:16">
      <c r="A71" s="1">
        <v>70</v>
      </c>
      <c r="B71" s="1">
        <v>27</v>
      </c>
      <c r="C71" s="1" t="s">
        <v>16</v>
      </c>
      <c r="D71" s="1">
        <v>175.7</v>
      </c>
      <c r="E71" s="1">
        <v>86.2</v>
      </c>
      <c r="F71" s="1">
        <v>1785</v>
      </c>
      <c r="G71" s="1" t="s">
        <v>20</v>
      </c>
      <c r="H71" s="1">
        <v>1.55</v>
      </c>
      <c r="I71" s="1">
        <v>1.757</v>
      </c>
      <c r="J71" s="1">
        <v>27.9231071486069</v>
      </c>
      <c r="K71" t="str">
        <f t="shared" si="6"/>
        <v>缺口过大</v>
      </c>
      <c r="L71" s="2">
        <f t="shared" si="7"/>
        <v>1830.125</v>
      </c>
      <c r="M71" s="2">
        <f t="shared" si="8"/>
        <v>2836.69375</v>
      </c>
      <c r="N71" s="2">
        <f t="shared" si="9"/>
        <v>1051.69375</v>
      </c>
      <c r="O71" s="2">
        <f t="shared" si="10"/>
        <v>474.1</v>
      </c>
      <c r="P71" s="2">
        <f t="shared" si="11"/>
        <v>948.2</v>
      </c>
    </row>
    <row r="72" spans="1:16">
      <c r="A72" s="1">
        <v>71</v>
      </c>
      <c r="B72" s="1">
        <v>24</v>
      </c>
      <c r="C72" s="1" t="s">
        <v>16</v>
      </c>
      <c r="D72" s="1">
        <v>181.4</v>
      </c>
      <c r="E72" s="1">
        <v>89.4</v>
      </c>
      <c r="F72" s="1">
        <v>1916</v>
      </c>
      <c r="G72" s="1" t="s">
        <v>17</v>
      </c>
      <c r="H72" s="1">
        <v>1.375</v>
      </c>
      <c r="I72" s="1">
        <v>1.814</v>
      </c>
      <c r="J72" s="1">
        <v>27.1683306002924</v>
      </c>
      <c r="K72" t="str">
        <f t="shared" si="6"/>
        <v>缺口合适</v>
      </c>
      <c r="L72" s="2">
        <f t="shared" si="7"/>
        <v>1912.75</v>
      </c>
      <c r="M72" s="2">
        <f t="shared" si="8"/>
        <v>2630.03125</v>
      </c>
      <c r="N72" s="2">
        <f t="shared" si="9"/>
        <v>714.03125</v>
      </c>
      <c r="O72" s="2">
        <f t="shared" si="10"/>
        <v>491.7</v>
      </c>
      <c r="P72" s="2">
        <f t="shared" si="11"/>
        <v>983.4</v>
      </c>
    </row>
    <row r="73" spans="1:16">
      <c r="A73" s="1">
        <v>72</v>
      </c>
      <c r="B73" s="1">
        <v>35</v>
      </c>
      <c r="C73" s="1" t="s">
        <v>18</v>
      </c>
      <c r="D73" s="1">
        <v>170.9</v>
      </c>
      <c r="E73" s="1">
        <v>78.3</v>
      </c>
      <c r="F73" s="1">
        <v>1642</v>
      </c>
      <c r="G73" s="1" t="s">
        <v>17</v>
      </c>
      <c r="H73" s="1">
        <v>1.375</v>
      </c>
      <c r="I73" s="1">
        <v>1.709</v>
      </c>
      <c r="J73" s="1">
        <v>26.8088161630797</v>
      </c>
      <c r="K73" t="str">
        <f t="shared" si="6"/>
        <v>缺口合适</v>
      </c>
      <c r="L73" s="2">
        <f t="shared" si="7"/>
        <v>1515.125</v>
      </c>
      <c r="M73" s="2">
        <f t="shared" si="8"/>
        <v>2083.296875</v>
      </c>
      <c r="N73" s="2">
        <f t="shared" si="9"/>
        <v>441.296875</v>
      </c>
      <c r="O73" s="2">
        <f t="shared" si="10"/>
        <v>430.65</v>
      </c>
      <c r="P73" s="2">
        <f t="shared" si="11"/>
        <v>861.3</v>
      </c>
    </row>
    <row r="74" spans="1:16">
      <c r="A74" s="1">
        <v>73</v>
      </c>
      <c r="B74" s="1">
        <v>25</v>
      </c>
      <c r="C74" s="1" t="s">
        <v>16</v>
      </c>
      <c r="D74" s="1">
        <v>181.1</v>
      </c>
      <c r="E74" s="1">
        <v>85</v>
      </c>
      <c r="F74" s="1">
        <v>2075</v>
      </c>
      <c r="G74" s="1" t="s">
        <v>19</v>
      </c>
      <c r="H74" s="1">
        <v>1.2</v>
      </c>
      <c r="I74" s="1">
        <v>1.811</v>
      </c>
      <c r="J74" s="1">
        <v>25.9168386579224</v>
      </c>
      <c r="K74" t="str">
        <f t="shared" si="6"/>
        <v>缺口过小</v>
      </c>
      <c r="L74" s="2">
        <f t="shared" si="7"/>
        <v>1861.875</v>
      </c>
      <c r="M74" s="2">
        <f t="shared" si="8"/>
        <v>2234.25</v>
      </c>
      <c r="N74" s="2">
        <f t="shared" si="9"/>
        <v>159.25</v>
      </c>
      <c r="O74" s="2">
        <f t="shared" si="10"/>
        <v>467.5</v>
      </c>
      <c r="P74" s="2">
        <f t="shared" si="11"/>
        <v>935</v>
      </c>
    </row>
    <row r="75" spans="1:16">
      <c r="A75" s="1">
        <v>74</v>
      </c>
      <c r="B75" s="1">
        <v>23</v>
      </c>
      <c r="C75" s="1" t="s">
        <v>18</v>
      </c>
      <c r="D75" s="1">
        <v>153.2</v>
      </c>
      <c r="E75" s="1">
        <v>85.8</v>
      </c>
      <c r="F75" s="1">
        <v>1077</v>
      </c>
      <c r="G75" s="1" t="s">
        <v>20</v>
      </c>
      <c r="H75" s="1">
        <v>1.55</v>
      </c>
      <c r="I75" s="1">
        <v>1.53199999999999</v>
      </c>
      <c r="J75" s="1">
        <v>36.5569333760541</v>
      </c>
      <c r="K75" t="str">
        <f t="shared" si="6"/>
        <v>缺口过大</v>
      </c>
      <c r="L75" s="2">
        <f t="shared" si="7"/>
        <v>1539.5</v>
      </c>
      <c r="M75" s="2">
        <f t="shared" si="8"/>
        <v>2386.225</v>
      </c>
      <c r="N75" s="2">
        <f t="shared" si="9"/>
        <v>1309.225</v>
      </c>
      <c r="O75" s="2">
        <f t="shared" si="10"/>
        <v>471.9</v>
      </c>
      <c r="P75" s="2">
        <f t="shared" si="11"/>
        <v>943.8</v>
      </c>
    </row>
    <row r="76" spans="1:16">
      <c r="A76" s="1">
        <v>75</v>
      </c>
      <c r="B76" s="1">
        <v>21</v>
      </c>
      <c r="C76" s="1" t="s">
        <v>16</v>
      </c>
      <c r="D76" s="1">
        <v>177.3</v>
      </c>
      <c r="E76" s="1">
        <v>103.6</v>
      </c>
      <c r="F76" s="1">
        <v>3095</v>
      </c>
      <c r="G76" s="1" t="s">
        <v>17</v>
      </c>
      <c r="H76" s="1">
        <v>1.375</v>
      </c>
      <c r="I76" s="1">
        <v>1.773</v>
      </c>
      <c r="J76" s="1">
        <v>32.956591143266</v>
      </c>
      <c r="K76" t="str">
        <f t="shared" si="6"/>
        <v>没有热量缺口</v>
      </c>
      <c r="L76" s="2">
        <f t="shared" si="7"/>
        <v>2044.125</v>
      </c>
      <c r="M76" s="2">
        <f t="shared" si="8"/>
        <v>2810.671875</v>
      </c>
      <c r="N76" s="2">
        <f t="shared" si="9"/>
        <v>-284.328125</v>
      </c>
      <c r="O76" s="2">
        <f t="shared" si="10"/>
        <v>569.8</v>
      </c>
      <c r="P76" s="2">
        <f t="shared" si="11"/>
        <v>1139.6</v>
      </c>
    </row>
    <row r="77" spans="1:16">
      <c r="A77" s="1">
        <v>76</v>
      </c>
      <c r="B77" s="1">
        <v>26</v>
      </c>
      <c r="C77" s="1" t="s">
        <v>16</v>
      </c>
      <c r="D77" s="1">
        <v>176.9</v>
      </c>
      <c r="E77" s="1">
        <v>80</v>
      </c>
      <c r="F77" s="1">
        <v>1601</v>
      </c>
      <c r="G77" s="1" t="s">
        <v>20</v>
      </c>
      <c r="H77" s="1">
        <v>1.55</v>
      </c>
      <c r="I77" s="1">
        <v>1.769</v>
      </c>
      <c r="J77" s="1">
        <v>25.5643244739101</v>
      </c>
      <c r="K77" t="str">
        <f t="shared" si="6"/>
        <v>缺口过大</v>
      </c>
      <c r="L77" s="2">
        <f t="shared" si="7"/>
        <v>1780.625</v>
      </c>
      <c r="M77" s="2">
        <f t="shared" si="8"/>
        <v>2759.96875</v>
      </c>
      <c r="N77" s="2">
        <f t="shared" si="9"/>
        <v>1158.96875</v>
      </c>
      <c r="O77" s="2">
        <f t="shared" si="10"/>
        <v>440</v>
      </c>
      <c r="P77" s="2">
        <f t="shared" si="11"/>
        <v>880</v>
      </c>
    </row>
    <row r="78" spans="1:16">
      <c r="A78" s="1">
        <v>77</v>
      </c>
      <c r="B78" s="1">
        <v>31</v>
      </c>
      <c r="C78" s="1" t="s">
        <v>16</v>
      </c>
      <c r="D78" s="1">
        <v>180.7</v>
      </c>
      <c r="E78" s="1">
        <v>70.9</v>
      </c>
      <c r="F78" s="1">
        <v>3343</v>
      </c>
      <c r="G78" s="1" t="s">
        <v>17</v>
      </c>
      <c r="H78" s="1">
        <v>1.375</v>
      </c>
      <c r="I78" s="1">
        <v>1.807</v>
      </c>
      <c r="J78" s="1">
        <v>21.7135048506254</v>
      </c>
      <c r="K78" t="str">
        <f t="shared" si="6"/>
        <v>没有热量缺口</v>
      </c>
      <c r="L78" s="2">
        <f t="shared" si="7"/>
        <v>1688.375</v>
      </c>
      <c r="M78" s="2">
        <f t="shared" si="8"/>
        <v>2321.515625</v>
      </c>
      <c r="N78" s="2">
        <f t="shared" si="9"/>
        <v>-1021.484375</v>
      </c>
      <c r="O78" s="2">
        <f t="shared" si="10"/>
        <v>389.95</v>
      </c>
      <c r="P78" s="2">
        <f t="shared" si="11"/>
        <v>779.9</v>
      </c>
    </row>
    <row r="79" spans="1:16">
      <c r="A79" s="1">
        <v>78</v>
      </c>
      <c r="B79" s="1">
        <v>27</v>
      </c>
      <c r="C79" s="1" t="s">
        <v>18</v>
      </c>
      <c r="D79" s="1">
        <v>152</v>
      </c>
      <c r="E79" s="1">
        <v>131.1</v>
      </c>
      <c r="F79" s="1">
        <v>583</v>
      </c>
      <c r="G79" s="1" t="s">
        <v>21</v>
      </c>
      <c r="H79" s="1">
        <v>1.725</v>
      </c>
      <c r="I79" s="1">
        <v>1.52</v>
      </c>
      <c r="J79" s="1">
        <v>56.7434210526315</v>
      </c>
      <c r="K79" t="str">
        <f t="shared" si="6"/>
        <v>缺口过大</v>
      </c>
      <c r="L79" s="2">
        <f t="shared" si="7"/>
        <v>1965</v>
      </c>
      <c r="M79" s="2">
        <f t="shared" si="8"/>
        <v>3389.625</v>
      </c>
      <c r="N79" s="2">
        <f t="shared" si="9"/>
        <v>2806.625</v>
      </c>
      <c r="O79" s="2">
        <f t="shared" si="10"/>
        <v>721.05</v>
      </c>
      <c r="P79" s="2">
        <f t="shared" si="11"/>
        <v>1442.1</v>
      </c>
    </row>
    <row r="80" spans="1:16">
      <c r="A80" s="1">
        <v>79</v>
      </c>
      <c r="B80" s="1">
        <v>28</v>
      </c>
      <c r="C80" s="1" t="s">
        <v>18</v>
      </c>
      <c r="D80" s="1">
        <v>153</v>
      </c>
      <c r="E80" s="1">
        <v>88.4</v>
      </c>
      <c r="F80" s="1">
        <v>1684</v>
      </c>
      <c r="G80" s="1" t="s">
        <v>21</v>
      </c>
      <c r="H80" s="1">
        <v>1.725</v>
      </c>
      <c r="I80" s="1">
        <v>1.53</v>
      </c>
      <c r="J80" s="1">
        <v>37.7632534495279</v>
      </c>
      <c r="K80" t="str">
        <f t="shared" si="6"/>
        <v>缺口合适</v>
      </c>
      <c r="L80" s="2">
        <f t="shared" si="7"/>
        <v>1539.25</v>
      </c>
      <c r="M80" s="2">
        <f t="shared" si="8"/>
        <v>2655.20625</v>
      </c>
      <c r="N80" s="2">
        <f t="shared" si="9"/>
        <v>971.20625</v>
      </c>
      <c r="O80" s="2">
        <f t="shared" si="10"/>
        <v>486.2</v>
      </c>
      <c r="P80" s="2">
        <f t="shared" si="11"/>
        <v>972.4</v>
      </c>
    </row>
    <row r="81" spans="1:16">
      <c r="A81" s="1">
        <v>80</v>
      </c>
      <c r="B81" s="1">
        <v>34</v>
      </c>
      <c r="C81" s="1" t="s">
        <v>16</v>
      </c>
      <c r="D81" s="1">
        <v>170.1</v>
      </c>
      <c r="E81" s="1">
        <v>99.8</v>
      </c>
      <c r="F81" s="1">
        <v>2994</v>
      </c>
      <c r="G81" s="1" t="s">
        <v>17</v>
      </c>
      <c r="H81" s="1">
        <v>1.375</v>
      </c>
      <c r="I81" s="1">
        <v>1.70099999999999</v>
      </c>
      <c r="J81" s="1">
        <v>34.4922808832927</v>
      </c>
      <c r="K81" t="str">
        <f t="shared" si="6"/>
        <v>没有热量缺口</v>
      </c>
      <c r="L81" s="2">
        <f t="shared" si="7"/>
        <v>1896.125</v>
      </c>
      <c r="M81" s="2">
        <f t="shared" si="8"/>
        <v>2607.171875</v>
      </c>
      <c r="N81" s="2">
        <f t="shared" si="9"/>
        <v>-386.828125</v>
      </c>
      <c r="O81" s="2">
        <f t="shared" si="10"/>
        <v>548.9</v>
      </c>
      <c r="P81" s="2">
        <f t="shared" si="11"/>
        <v>1097.8</v>
      </c>
    </row>
    <row r="82" spans="1:16">
      <c r="A82" s="1">
        <v>81</v>
      </c>
      <c r="B82" s="1">
        <v>26</v>
      </c>
      <c r="C82" s="1" t="s">
        <v>16</v>
      </c>
      <c r="D82" s="1">
        <v>177.5</v>
      </c>
      <c r="E82" s="1">
        <v>82.5</v>
      </c>
      <c r="F82" s="1">
        <v>2568</v>
      </c>
      <c r="G82" s="1" t="s">
        <v>17</v>
      </c>
      <c r="H82" s="1">
        <v>1.375</v>
      </c>
      <c r="I82" s="1">
        <v>1.775</v>
      </c>
      <c r="J82" s="1">
        <v>26.1852806982741</v>
      </c>
      <c r="K82" t="str">
        <f t="shared" si="6"/>
        <v>没有热量缺口</v>
      </c>
      <c r="L82" s="2">
        <f t="shared" si="7"/>
        <v>1809.375</v>
      </c>
      <c r="M82" s="2">
        <f t="shared" si="8"/>
        <v>2487.890625</v>
      </c>
      <c r="N82" s="2">
        <f t="shared" si="9"/>
        <v>-80.109375</v>
      </c>
      <c r="O82" s="2">
        <f t="shared" si="10"/>
        <v>453.75</v>
      </c>
      <c r="P82" s="2">
        <f t="shared" si="11"/>
        <v>907.5</v>
      </c>
    </row>
    <row r="83" spans="1:16">
      <c r="A83" s="1">
        <v>82</v>
      </c>
      <c r="B83" s="1">
        <v>29</v>
      </c>
      <c r="C83" s="1" t="s">
        <v>18</v>
      </c>
      <c r="D83" s="1">
        <v>156.4</v>
      </c>
      <c r="E83" s="1">
        <v>62.8</v>
      </c>
      <c r="F83" s="1">
        <v>1431</v>
      </c>
      <c r="G83" s="1" t="s">
        <v>21</v>
      </c>
      <c r="H83" s="1">
        <v>1.725</v>
      </c>
      <c r="I83" s="1">
        <v>1.564</v>
      </c>
      <c r="J83" s="1">
        <v>25.6735630980959</v>
      </c>
      <c r="K83" t="str">
        <f t="shared" si="6"/>
        <v>缺口过大</v>
      </c>
      <c r="L83" s="2">
        <f t="shared" si="7"/>
        <v>1299.5</v>
      </c>
      <c r="M83" s="2">
        <f t="shared" si="8"/>
        <v>2241.6375</v>
      </c>
      <c r="N83" s="2">
        <f t="shared" si="9"/>
        <v>810.6375</v>
      </c>
      <c r="O83" s="2">
        <f t="shared" si="10"/>
        <v>345.4</v>
      </c>
      <c r="P83" s="2">
        <f t="shared" si="11"/>
        <v>690.8</v>
      </c>
    </row>
    <row r="84" spans="1:16">
      <c r="A84" s="1">
        <v>83</v>
      </c>
      <c r="B84" s="1">
        <v>31</v>
      </c>
      <c r="C84" s="1" t="s">
        <v>16</v>
      </c>
      <c r="D84" s="1">
        <v>163.3</v>
      </c>
      <c r="E84" s="1">
        <v>69.7</v>
      </c>
      <c r="F84" s="1">
        <v>2277</v>
      </c>
      <c r="G84" s="1" t="s">
        <v>17</v>
      </c>
      <c r="H84" s="1">
        <v>1.375</v>
      </c>
      <c r="I84" s="1">
        <v>1.633</v>
      </c>
      <c r="J84" s="1">
        <v>26.1372811002707</v>
      </c>
      <c r="K84" t="str">
        <f t="shared" si="6"/>
        <v>没有热量缺口</v>
      </c>
      <c r="L84" s="2">
        <f t="shared" si="7"/>
        <v>1567.625</v>
      </c>
      <c r="M84" s="2">
        <f t="shared" si="8"/>
        <v>2155.484375</v>
      </c>
      <c r="N84" s="2">
        <f t="shared" si="9"/>
        <v>-121.515625</v>
      </c>
      <c r="O84" s="2">
        <f t="shared" si="10"/>
        <v>383.35</v>
      </c>
      <c r="P84" s="2">
        <f t="shared" si="11"/>
        <v>766.7</v>
      </c>
    </row>
    <row r="85" spans="1:16">
      <c r="A85" s="1">
        <v>84</v>
      </c>
      <c r="B85" s="1">
        <v>34</v>
      </c>
      <c r="C85" s="1" t="s">
        <v>18</v>
      </c>
      <c r="D85" s="1">
        <v>161.5</v>
      </c>
      <c r="E85" s="1">
        <v>52.5</v>
      </c>
      <c r="F85" s="1">
        <v>2299</v>
      </c>
      <c r="G85" s="1" t="s">
        <v>17</v>
      </c>
      <c r="H85" s="1">
        <v>1.375</v>
      </c>
      <c r="I85" s="1">
        <v>1.615</v>
      </c>
      <c r="J85" s="1">
        <v>20.1286315406071</v>
      </c>
      <c r="K85" t="str">
        <f t="shared" si="6"/>
        <v>没有热量缺口</v>
      </c>
      <c r="L85" s="2">
        <f t="shared" si="7"/>
        <v>1203.375</v>
      </c>
      <c r="M85" s="2">
        <f t="shared" si="8"/>
        <v>1654.640625</v>
      </c>
      <c r="N85" s="2">
        <f t="shared" si="9"/>
        <v>-644.359375</v>
      </c>
      <c r="O85" s="2">
        <f t="shared" si="10"/>
        <v>288.75</v>
      </c>
      <c r="P85" s="2">
        <f t="shared" si="11"/>
        <v>577.5</v>
      </c>
    </row>
    <row r="86" spans="1:16">
      <c r="A86" s="1">
        <v>85</v>
      </c>
      <c r="B86" s="1">
        <v>30</v>
      </c>
      <c r="C86" s="1" t="s">
        <v>16</v>
      </c>
      <c r="D86" s="1">
        <v>185.6</v>
      </c>
      <c r="E86" s="1">
        <v>94.6</v>
      </c>
      <c r="F86" s="1">
        <v>2268</v>
      </c>
      <c r="G86" s="1" t="s">
        <v>21</v>
      </c>
      <c r="H86" s="1">
        <v>1.725</v>
      </c>
      <c r="I86" s="1">
        <v>1.85599999999999</v>
      </c>
      <c r="J86" s="1">
        <v>27.4621915873959</v>
      </c>
      <c r="K86" t="str">
        <f t="shared" si="6"/>
        <v>缺口过大</v>
      </c>
      <c r="L86" s="2">
        <f t="shared" si="7"/>
        <v>1961</v>
      </c>
      <c r="M86" s="2">
        <f t="shared" si="8"/>
        <v>3382.725</v>
      </c>
      <c r="N86" s="2">
        <f t="shared" si="9"/>
        <v>1114.725</v>
      </c>
      <c r="O86" s="2">
        <f t="shared" si="10"/>
        <v>520.3</v>
      </c>
      <c r="P86" s="2">
        <f t="shared" si="11"/>
        <v>1040.6</v>
      </c>
    </row>
    <row r="87" spans="1:16">
      <c r="A87" s="1">
        <v>86</v>
      </c>
      <c r="B87" s="1">
        <v>22</v>
      </c>
      <c r="C87" s="1" t="s">
        <v>16</v>
      </c>
      <c r="D87" s="1">
        <v>162.7</v>
      </c>
      <c r="E87" s="1">
        <v>64.6</v>
      </c>
      <c r="F87" s="1">
        <v>1374</v>
      </c>
      <c r="G87" s="1" t="s">
        <v>21</v>
      </c>
      <c r="H87" s="1">
        <v>1.725</v>
      </c>
      <c r="I87" s="1">
        <v>1.62699999999999</v>
      </c>
      <c r="J87" s="1">
        <v>24.4037974726581</v>
      </c>
      <c r="K87" t="str">
        <f t="shared" si="6"/>
        <v>缺口过大</v>
      </c>
      <c r="L87" s="2">
        <f t="shared" si="7"/>
        <v>1557.875</v>
      </c>
      <c r="M87" s="2">
        <f t="shared" si="8"/>
        <v>2687.334375</v>
      </c>
      <c r="N87" s="2">
        <f t="shared" si="9"/>
        <v>1313.334375</v>
      </c>
      <c r="O87" s="2">
        <f t="shared" si="10"/>
        <v>355.3</v>
      </c>
      <c r="P87" s="2">
        <f t="shared" si="11"/>
        <v>710.6</v>
      </c>
    </row>
    <row r="88" spans="1:16">
      <c r="A88" s="1">
        <v>87</v>
      </c>
      <c r="B88" s="1">
        <v>30</v>
      </c>
      <c r="C88" s="1" t="s">
        <v>16</v>
      </c>
      <c r="D88" s="1">
        <v>163</v>
      </c>
      <c r="E88" s="1">
        <v>58.2</v>
      </c>
      <c r="F88" s="1">
        <v>268</v>
      </c>
      <c r="G88" s="1" t="s">
        <v>17</v>
      </c>
      <c r="H88" s="1">
        <v>1.375</v>
      </c>
      <c r="I88" s="1">
        <v>1.63</v>
      </c>
      <c r="J88" s="1">
        <v>21.9052278971734</v>
      </c>
      <c r="K88" t="str">
        <f t="shared" si="6"/>
        <v>缺口过大</v>
      </c>
      <c r="L88" s="2">
        <f t="shared" si="7"/>
        <v>1455.75</v>
      </c>
      <c r="M88" s="2">
        <f t="shared" si="8"/>
        <v>2001.65625</v>
      </c>
      <c r="N88" s="2">
        <f t="shared" si="9"/>
        <v>1733.65625</v>
      </c>
      <c r="O88" s="2">
        <f t="shared" si="10"/>
        <v>320.1</v>
      </c>
      <c r="P88" s="2">
        <f t="shared" si="11"/>
        <v>640.2</v>
      </c>
    </row>
    <row r="89" spans="1:16">
      <c r="A89" s="1">
        <v>88</v>
      </c>
      <c r="B89" s="1">
        <v>24</v>
      </c>
      <c r="C89" s="1" t="s">
        <v>18</v>
      </c>
      <c r="D89" s="1">
        <v>163.3</v>
      </c>
      <c r="E89" s="1">
        <v>70.2</v>
      </c>
      <c r="F89" s="1">
        <v>2023</v>
      </c>
      <c r="G89" s="1" t="s">
        <v>17</v>
      </c>
      <c r="H89" s="1">
        <v>1.375</v>
      </c>
      <c r="I89" s="1">
        <v>1.633</v>
      </c>
      <c r="J89" s="1">
        <v>26.3247795299714</v>
      </c>
      <c r="K89" t="str">
        <f t="shared" si="6"/>
        <v>没有热量缺口</v>
      </c>
      <c r="L89" s="2">
        <f t="shared" si="7"/>
        <v>1441.625</v>
      </c>
      <c r="M89" s="2">
        <f t="shared" si="8"/>
        <v>1982.234375</v>
      </c>
      <c r="N89" s="2">
        <f t="shared" si="9"/>
        <v>-40.765625</v>
      </c>
      <c r="O89" s="2">
        <f t="shared" si="10"/>
        <v>386.1</v>
      </c>
      <c r="P89" s="2">
        <f t="shared" si="11"/>
        <v>772.2</v>
      </c>
    </row>
    <row r="90" spans="1:16">
      <c r="A90" s="1">
        <v>89</v>
      </c>
      <c r="B90" s="1">
        <v>35</v>
      </c>
      <c r="C90" s="1" t="s">
        <v>16</v>
      </c>
      <c r="D90" s="1">
        <v>176</v>
      </c>
      <c r="E90" s="1">
        <v>127.4</v>
      </c>
      <c r="F90" s="1">
        <v>2335</v>
      </c>
      <c r="G90" s="1" t="s">
        <v>21</v>
      </c>
      <c r="H90" s="1">
        <v>1.725</v>
      </c>
      <c r="I90" s="1">
        <v>1.76</v>
      </c>
      <c r="J90" s="1">
        <v>41.1286157024793</v>
      </c>
      <c r="K90" t="str">
        <f t="shared" si="6"/>
        <v>缺口过大</v>
      </c>
      <c r="L90" s="2">
        <f t="shared" si="7"/>
        <v>2204</v>
      </c>
      <c r="M90" s="2">
        <f t="shared" si="8"/>
        <v>3801.9</v>
      </c>
      <c r="N90" s="2">
        <f t="shared" si="9"/>
        <v>1466.9</v>
      </c>
      <c r="O90" s="2">
        <f t="shared" si="10"/>
        <v>700.7</v>
      </c>
      <c r="P90" s="2">
        <f t="shared" si="11"/>
        <v>1401.4</v>
      </c>
    </row>
    <row r="91" spans="1:16">
      <c r="A91" s="1">
        <v>90</v>
      </c>
      <c r="B91" s="1">
        <v>34</v>
      </c>
      <c r="C91" s="1" t="s">
        <v>18</v>
      </c>
      <c r="D91" s="1">
        <v>163</v>
      </c>
      <c r="E91" s="1">
        <v>53.1</v>
      </c>
      <c r="F91" s="1">
        <v>2288</v>
      </c>
      <c r="G91" s="1" t="s">
        <v>21</v>
      </c>
      <c r="H91" s="1">
        <v>1.725</v>
      </c>
      <c r="I91" s="1">
        <v>1.63</v>
      </c>
      <c r="J91" s="1">
        <v>19.9856976175241</v>
      </c>
      <c r="K91" t="str">
        <f t="shared" si="6"/>
        <v>没有热量缺口</v>
      </c>
      <c r="L91" s="2">
        <f t="shared" si="7"/>
        <v>1218.75</v>
      </c>
      <c r="M91" s="2">
        <f t="shared" si="8"/>
        <v>2102.34375</v>
      </c>
      <c r="N91" s="2">
        <f t="shared" si="9"/>
        <v>-185.65625</v>
      </c>
      <c r="O91" s="2">
        <f t="shared" si="10"/>
        <v>292.05</v>
      </c>
      <c r="P91" s="2">
        <f t="shared" si="11"/>
        <v>584.1</v>
      </c>
    </row>
    <row r="92" spans="1:16">
      <c r="A92" s="1">
        <v>91</v>
      </c>
      <c r="B92" s="1">
        <v>29</v>
      </c>
      <c r="C92" s="1" t="s">
        <v>18</v>
      </c>
      <c r="D92" s="1">
        <v>164.8</v>
      </c>
      <c r="E92" s="1">
        <v>80.5</v>
      </c>
      <c r="F92" s="1">
        <v>2202</v>
      </c>
      <c r="G92" s="1" t="s">
        <v>21</v>
      </c>
      <c r="H92" s="1">
        <v>1.725</v>
      </c>
      <c r="I92" s="1">
        <v>1.648</v>
      </c>
      <c r="J92" s="1">
        <v>29.6402229239325</v>
      </c>
      <c r="K92" t="str">
        <f t="shared" si="6"/>
        <v>缺口过小</v>
      </c>
      <c r="L92" s="2">
        <f t="shared" si="7"/>
        <v>1529</v>
      </c>
      <c r="M92" s="2">
        <f t="shared" si="8"/>
        <v>2637.525</v>
      </c>
      <c r="N92" s="2">
        <f t="shared" si="9"/>
        <v>435.525</v>
      </c>
      <c r="O92" s="2">
        <f t="shared" si="10"/>
        <v>442.75</v>
      </c>
      <c r="P92" s="2">
        <f t="shared" si="11"/>
        <v>885.5</v>
      </c>
    </row>
    <row r="93" spans="1:16">
      <c r="A93" s="1">
        <v>92</v>
      </c>
      <c r="B93" s="1">
        <v>24</v>
      </c>
      <c r="C93" s="1" t="s">
        <v>18</v>
      </c>
      <c r="D93" s="1">
        <v>159.2</v>
      </c>
      <c r="E93" s="1">
        <v>76.7</v>
      </c>
      <c r="F93" s="1">
        <v>2005</v>
      </c>
      <c r="G93" s="1" t="s">
        <v>21</v>
      </c>
      <c r="H93" s="1">
        <v>1.725</v>
      </c>
      <c r="I93" s="1">
        <v>1.59199999999999</v>
      </c>
      <c r="J93" s="1">
        <v>30.2628090199742</v>
      </c>
      <c r="K93" t="str">
        <f t="shared" si="6"/>
        <v>缺口合适</v>
      </c>
      <c r="L93" s="2">
        <f t="shared" si="7"/>
        <v>1481</v>
      </c>
      <c r="M93" s="2">
        <f t="shared" si="8"/>
        <v>2554.725</v>
      </c>
      <c r="N93" s="2">
        <f t="shared" si="9"/>
        <v>549.725</v>
      </c>
      <c r="O93" s="2">
        <f t="shared" si="10"/>
        <v>421.85</v>
      </c>
      <c r="P93" s="2">
        <f t="shared" si="11"/>
        <v>843.7</v>
      </c>
    </row>
    <row r="94" spans="1:16">
      <c r="A94" s="1">
        <v>93</v>
      </c>
      <c r="B94" s="1">
        <v>30</v>
      </c>
      <c r="C94" s="1" t="s">
        <v>18</v>
      </c>
      <c r="D94" s="1">
        <v>164.1</v>
      </c>
      <c r="E94" s="1">
        <v>70.6</v>
      </c>
      <c r="F94" s="1">
        <v>1471</v>
      </c>
      <c r="G94" s="1" t="s">
        <v>21</v>
      </c>
      <c r="H94" s="1">
        <v>1.725</v>
      </c>
      <c r="I94" s="1">
        <v>1.641</v>
      </c>
      <c r="J94" s="1">
        <v>26.217274361548</v>
      </c>
      <c r="K94" t="str">
        <f t="shared" si="6"/>
        <v>缺口过大</v>
      </c>
      <c r="L94" s="2">
        <f t="shared" si="7"/>
        <v>1420.625</v>
      </c>
      <c r="M94" s="2">
        <f t="shared" si="8"/>
        <v>2450.578125</v>
      </c>
      <c r="N94" s="2">
        <f t="shared" si="9"/>
        <v>979.578125</v>
      </c>
      <c r="O94" s="2">
        <f t="shared" si="10"/>
        <v>388.3</v>
      </c>
      <c r="P94" s="2">
        <f t="shared" si="11"/>
        <v>776.6</v>
      </c>
    </row>
    <row r="95" spans="1:16">
      <c r="A95" s="1">
        <v>94</v>
      </c>
      <c r="B95" s="1">
        <v>34</v>
      </c>
      <c r="C95" s="1" t="s">
        <v>16</v>
      </c>
      <c r="D95" s="1">
        <v>178.6</v>
      </c>
      <c r="E95" s="1">
        <v>66.6</v>
      </c>
      <c r="F95" s="1">
        <v>2771</v>
      </c>
      <c r="G95" s="1" t="s">
        <v>17</v>
      </c>
      <c r="H95" s="1">
        <v>1.375</v>
      </c>
      <c r="I95" s="1">
        <v>1.786</v>
      </c>
      <c r="J95" s="1">
        <v>20.8790781604842</v>
      </c>
      <c r="K95" t="str">
        <f t="shared" si="6"/>
        <v>没有热量缺口</v>
      </c>
      <c r="L95" s="2">
        <f t="shared" si="7"/>
        <v>1617.25</v>
      </c>
      <c r="M95" s="2">
        <f t="shared" si="8"/>
        <v>2223.71875</v>
      </c>
      <c r="N95" s="2">
        <f t="shared" si="9"/>
        <v>-547.28125</v>
      </c>
      <c r="O95" s="2">
        <f t="shared" si="10"/>
        <v>366.3</v>
      </c>
      <c r="P95" s="2">
        <f t="shared" si="11"/>
        <v>732.6</v>
      </c>
    </row>
    <row r="96" spans="1:16">
      <c r="A96" s="1">
        <v>95</v>
      </c>
      <c r="B96" s="1">
        <v>33</v>
      </c>
      <c r="C96" s="1" t="s">
        <v>16</v>
      </c>
      <c r="D96" s="1">
        <v>181.9</v>
      </c>
      <c r="E96" s="1">
        <v>76</v>
      </c>
      <c r="F96" s="1">
        <v>4525</v>
      </c>
      <c r="G96" s="1" t="s">
        <v>17</v>
      </c>
      <c r="H96" s="1">
        <v>1.375</v>
      </c>
      <c r="I96" s="1">
        <v>1.819</v>
      </c>
      <c r="J96" s="1">
        <v>22.9693229580498</v>
      </c>
      <c r="K96" t="str">
        <f t="shared" si="6"/>
        <v>没有热量缺口</v>
      </c>
      <c r="L96" s="2">
        <f t="shared" si="7"/>
        <v>1736.875</v>
      </c>
      <c r="M96" s="2">
        <f t="shared" si="8"/>
        <v>2388.203125</v>
      </c>
      <c r="N96" s="2">
        <f t="shared" si="9"/>
        <v>-2136.796875</v>
      </c>
      <c r="O96" s="2">
        <f t="shared" si="10"/>
        <v>418</v>
      </c>
      <c r="P96" s="2">
        <f t="shared" si="11"/>
        <v>836</v>
      </c>
    </row>
    <row r="97" spans="1:16">
      <c r="A97" s="1">
        <v>96</v>
      </c>
      <c r="B97" s="1">
        <v>35</v>
      </c>
      <c r="C97" s="1" t="s">
        <v>16</v>
      </c>
      <c r="D97" s="1">
        <v>184.3</v>
      </c>
      <c r="E97" s="1">
        <v>71.8</v>
      </c>
      <c r="F97" s="1">
        <v>2270</v>
      </c>
      <c r="G97" s="1" t="s">
        <v>20</v>
      </c>
      <c r="H97" s="1">
        <v>1.55</v>
      </c>
      <c r="I97" s="1">
        <v>1.843</v>
      </c>
      <c r="J97" s="1">
        <v>21.1384808969075</v>
      </c>
      <c r="K97" t="str">
        <f t="shared" si="6"/>
        <v>缺口过小</v>
      </c>
      <c r="L97" s="2">
        <f t="shared" si="7"/>
        <v>1699.875</v>
      </c>
      <c r="M97" s="2">
        <f t="shared" si="8"/>
        <v>2634.80625</v>
      </c>
      <c r="N97" s="2">
        <f t="shared" si="9"/>
        <v>364.80625</v>
      </c>
      <c r="O97" s="2">
        <f t="shared" si="10"/>
        <v>394.9</v>
      </c>
      <c r="P97" s="2">
        <f t="shared" si="11"/>
        <v>789.8</v>
      </c>
    </row>
    <row r="98" spans="1:16">
      <c r="A98" s="1">
        <v>97</v>
      </c>
      <c r="B98" s="1">
        <v>28</v>
      </c>
      <c r="C98" s="1" t="s">
        <v>16</v>
      </c>
      <c r="D98" s="1">
        <v>174.7</v>
      </c>
      <c r="E98" s="1">
        <v>120.5</v>
      </c>
      <c r="F98" s="1">
        <v>650</v>
      </c>
      <c r="G98" s="1" t="s">
        <v>21</v>
      </c>
      <c r="H98" s="1">
        <v>1.725</v>
      </c>
      <c r="I98" s="1">
        <v>1.74699999999999</v>
      </c>
      <c r="J98" s="1">
        <v>39.4821902556643</v>
      </c>
      <c r="K98" t="str">
        <f t="shared" si="6"/>
        <v>缺口过大</v>
      </c>
      <c r="L98" s="2">
        <f t="shared" si="7"/>
        <v>2161.875</v>
      </c>
      <c r="M98" s="2">
        <f t="shared" si="8"/>
        <v>3729.234375</v>
      </c>
      <c r="N98" s="2">
        <f t="shared" si="9"/>
        <v>3079.234375</v>
      </c>
      <c r="O98" s="2">
        <f t="shared" si="10"/>
        <v>662.75</v>
      </c>
      <c r="P98" s="2">
        <f t="shared" si="11"/>
        <v>1325.5</v>
      </c>
    </row>
    <row r="99" spans="1:16">
      <c r="A99" s="1">
        <v>98</v>
      </c>
      <c r="B99" s="1">
        <v>25</v>
      </c>
      <c r="C99" s="1" t="s">
        <v>16</v>
      </c>
      <c r="D99" s="1">
        <v>175.7</v>
      </c>
      <c r="E99" s="1">
        <v>86</v>
      </c>
      <c r="F99" s="1">
        <v>4640</v>
      </c>
      <c r="G99" s="1" t="s">
        <v>17</v>
      </c>
      <c r="H99" s="1">
        <v>1.375</v>
      </c>
      <c r="I99" s="1">
        <v>1.757</v>
      </c>
      <c r="J99" s="1">
        <v>27.8583203570788</v>
      </c>
      <c r="K99" t="str">
        <f t="shared" si="6"/>
        <v>没有热量缺口</v>
      </c>
      <c r="L99" s="2">
        <f t="shared" si="7"/>
        <v>1838.125</v>
      </c>
      <c r="M99" s="2">
        <f t="shared" si="8"/>
        <v>2527.421875</v>
      </c>
      <c r="N99" s="2">
        <f t="shared" si="9"/>
        <v>-2112.578125</v>
      </c>
      <c r="O99" s="2">
        <f t="shared" si="10"/>
        <v>473</v>
      </c>
      <c r="P99" s="2">
        <f t="shared" si="11"/>
        <v>946</v>
      </c>
    </row>
    <row r="100" spans="1:16">
      <c r="A100" s="1">
        <v>99</v>
      </c>
      <c r="B100" s="1">
        <v>21</v>
      </c>
      <c r="C100" s="1" t="s">
        <v>18</v>
      </c>
      <c r="D100" s="1">
        <v>173.7</v>
      </c>
      <c r="E100" s="1">
        <v>70.4</v>
      </c>
      <c r="F100" s="1">
        <v>1446</v>
      </c>
      <c r="G100" s="1" t="s">
        <v>21</v>
      </c>
      <c r="H100" s="1">
        <v>1.725</v>
      </c>
      <c r="I100" s="1">
        <v>1.73699999999999</v>
      </c>
      <c r="J100" s="1">
        <v>23.3331311570548</v>
      </c>
      <c r="K100" t="str">
        <f t="shared" si="6"/>
        <v>缺口过大</v>
      </c>
      <c r="L100" s="2">
        <f t="shared" si="7"/>
        <v>1523.625</v>
      </c>
      <c r="M100" s="2">
        <f t="shared" si="8"/>
        <v>2628.253125</v>
      </c>
      <c r="N100" s="2">
        <f t="shared" si="9"/>
        <v>1182.253125</v>
      </c>
      <c r="O100" s="2">
        <f t="shared" si="10"/>
        <v>387.2</v>
      </c>
      <c r="P100" s="2">
        <f t="shared" si="11"/>
        <v>774.4</v>
      </c>
    </row>
    <row r="101" spans="1:16">
      <c r="A101" s="1">
        <v>100</v>
      </c>
      <c r="B101" s="1">
        <v>30</v>
      </c>
      <c r="C101" s="1" t="s">
        <v>16</v>
      </c>
      <c r="D101" s="1">
        <v>171.8</v>
      </c>
      <c r="E101" s="1">
        <v>73.9</v>
      </c>
      <c r="F101" s="1">
        <v>3011</v>
      </c>
      <c r="G101" s="1" t="s">
        <v>21</v>
      </c>
      <c r="H101" s="1">
        <v>1.725</v>
      </c>
      <c r="I101" s="1">
        <v>1.718</v>
      </c>
      <c r="J101" s="1">
        <v>25.0379126173461</v>
      </c>
      <c r="K101" t="str">
        <f t="shared" si="6"/>
        <v>没有热量缺口</v>
      </c>
      <c r="L101" s="2">
        <f t="shared" si="7"/>
        <v>1667.75</v>
      </c>
      <c r="M101" s="2">
        <f t="shared" si="8"/>
        <v>2876.86875</v>
      </c>
      <c r="N101" s="2">
        <f t="shared" si="9"/>
        <v>-134.13125</v>
      </c>
      <c r="O101" s="2">
        <f t="shared" si="10"/>
        <v>406.45</v>
      </c>
      <c r="P101" s="2">
        <f t="shared" si="11"/>
        <v>812.9</v>
      </c>
    </row>
    <row r="102" spans="1:16">
      <c r="A102" s="1">
        <v>101</v>
      </c>
      <c r="B102" s="1">
        <v>25</v>
      </c>
      <c r="C102" s="1" t="s">
        <v>16</v>
      </c>
      <c r="D102" s="1">
        <v>193.6</v>
      </c>
      <c r="E102" s="1">
        <v>102.7</v>
      </c>
      <c r="F102" s="1">
        <v>1387</v>
      </c>
      <c r="G102" s="1" t="s">
        <v>17</v>
      </c>
      <c r="H102" s="1">
        <v>1.375</v>
      </c>
      <c r="I102" s="1">
        <v>1.936</v>
      </c>
      <c r="J102" s="1">
        <v>27.4005788539034</v>
      </c>
      <c r="K102" t="str">
        <f t="shared" si="6"/>
        <v>缺口过大</v>
      </c>
      <c r="L102" s="2">
        <f t="shared" si="7"/>
        <v>2117</v>
      </c>
      <c r="M102" s="2">
        <f t="shared" si="8"/>
        <v>2910.875</v>
      </c>
      <c r="N102" s="2">
        <f t="shared" si="9"/>
        <v>1523.875</v>
      </c>
      <c r="O102" s="2">
        <f t="shared" si="10"/>
        <v>564.85</v>
      </c>
      <c r="P102" s="2">
        <f t="shared" si="11"/>
        <v>1129.7</v>
      </c>
    </row>
    <row r="103" spans="1:16">
      <c r="A103" s="1">
        <v>102</v>
      </c>
      <c r="B103" s="1">
        <v>20</v>
      </c>
      <c r="C103" s="1" t="s">
        <v>16</v>
      </c>
      <c r="D103" s="1">
        <v>185.3</v>
      </c>
      <c r="E103" s="1">
        <v>111.8</v>
      </c>
      <c r="F103" s="1">
        <v>3164</v>
      </c>
      <c r="G103" s="1" t="s">
        <v>21</v>
      </c>
      <c r="H103" s="1">
        <v>1.725</v>
      </c>
      <c r="I103" s="1">
        <v>1.853</v>
      </c>
      <c r="J103" s="1">
        <v>32.56049247308</v>
      </c>
      <c r="K103" t="str">
        <f t="shared" si="6"/>
        <v>缺口过小</v>
      </c>
      <c r="L103" s="2">
        <f t="shared" si="7"/>
        <v>2181.125</v>
      </c>
      <c r="M103" s="2">
        <f t="shared" si="8"/>
        <v>3762.440625</v>
      </c>
      <c r="N103" s="2">
        <f t="shared" si="9"/>
        <v>598.440625</v>
      </c>
      <c r="O103" s="2">
        <f t="shared" si="10"/>
        <v>614.9</v>
      </c>
      <c r="P103" s="2">
        <f t="shared" si="11"/>
        <v>1229.8</v>
      </c>
    </row>
    <row r="104" spans="1:16">
      <c r="A104" s="1">
        <v>103</v>
      </c>
      <c r="B104" s="1">
        <v>34</v>
      </c>
      <c r="C104" s="1" t="s">
        <v>18</v>
      </c>
      <c r="D104" s="1">
        <v>174.2</v>
      </c>
      <c r="E104" s="1">
        <v>78.1</v>
      </c>
      <c r="F104" s="1">
        <v>2343</v>
      </c>
      <c r="G104" s="1" t="s">
        <v>17</v>
      </c>
      <c r="H104" s="1">
        <v>1.375</v>
      </c>
      <c r="I104" s="1">
        <v>1.742</v>
      </c>
      <c r="J104" s="1">
        <v>25.7368109553794</v>
      </c>
      <c r="K104" t="str">
        <f t="shared" si="6"/>
        <v>没有热量缺口</v>
      </c>
      <c r="L104" s="2">
        <f t="shared" si="7"/>
        <v>1538.75</v>
      </c>
      <c r="M104" s="2">
        <f t="shared" si="8"/>
        <v>2115.78125</v>
      </c>
      <c r="N104" s="2">
        <f t="shared" si="9"/>
        <v>-227.21875</v>
      </c>
      <c r="O104" s="2">
        <f t="shared" si="10"/>
        <v>429.55</v>
      </c>
      <c r="P104" s="2">
        <f t="shared" si="11"/>
        <v>859.1</v>
      </c>
    </row>
    <row r="105" spans="1:16">
      <c r="A105" s="1">
        <v>104</v>
      </c>
      <c r="B105" s="1">
        <v>22</v>
      </c>
      <c r="C105" s="1" t="s">
        <v>18</v>
      </c>
      <c r="D105" s="1">
        <v>159.4</v>
      </c>
      <c r="E105" s="1">
        <v>99.6</v>
      </c>
      <c r="F105" s="1">
        <v>2362</v>
      </c>
      <c r="G105" s="1" t="s">
        <v>17</v>
      </c>
      <c r="H105" s="1">
        <v>1.375</v>
      </c>
      <c r="I105" s="1">
        <v>1.594</v>
      </c>
      <c r="J105" s="1">
        <v>39.1996964778521</v>
      </c>
      <c r="K105" t="str">
        <f t="shared" si="6"/>
        <v>缺口过小</v>
      </c>
      <c r="L105" s="2">
        <f t="shared" si="7"/>
        <v>1721.25</v>
      </c>
      <c r="M105" s="2">
        <f t="shared" si="8"/>
        <v>2366.71875</v>
      </c>
      <c r="N105" s="2">
        <f t="shared" si="9"/>
        <v>4.71875</v>
      </c>
      <c r="O105" s="2">
        <f t="shared" si="10"/>
        <v>547.8</v>
      </c>
      <c r="P105" s="2">
        <f t="shared" si="11"/>
        <v>1095.6</v>
      </c>
    </row>
    <row r="106" spans="1:16">
      <c r="A106" s="1">
        <v>105</v>
      </c>
      <c r="B106" s="1">
        <v>26</v>
      </c>
      <c r="C106" s="1" t="s">
        <v>18</v>
      </c>
      <c r="D106" s="1">
        <v>159.5</v>
      </c>
      <c r="E106" s="1">
        <v>91.5</v>
      </c>
      <c r="F106" s="1">
        <v>2049</v>
      </c>
      <c r="G106" s="1" t="s">
        <v>19</v>
      </c>
      <c r="H106" s="1">
        <v>1.2</v>
      </c>
      <c r="I106" s="1">
        <v>1.595</v>
      </c>
      <c r="J106" s="1">
        <v>35.9666276864417</v>
      </c>
      <c r="K106" t="str">
        <f t="shared" si="6"/>
        <v>没有热量缺口</v>
      </c>
      <c r="L106" s="2">
        <f t="shared" si="7"/>
        <v>1620.875</v>
      </c>
      <c r="M106" s="2">
        <f t="shared" si="8"/>
        <v>1945.05</v>
      </c>
      <c r="N106" s="2">
        <f t="shared" si="9"/>
        <v>-103.95</v>
      </c>
      <c r="O106" s="2">
        <f t="shared" si="10"/>
        <v>503.25</v>
      </c>
      <c r="P106" s="2">
        <f t="shared" si="11"/>
        <v>1006.5</v>
      </c>
    </row>
    <row r="107" spans="1:16">
      <c r="A107" s="1">
        <v>106</v>
      </c>
      <c r="B107" s="1">
        <v>33</v>
      </c>
      <c r="C107" s="1" t="s">
        <v>18</v>
      </c>
      <c r="D107" s="1">
        <v>149.7</v>
      </c>
      <c r="E107" s="1">
        <v>79.7</v>
      </c>
      <c r="F107" s="1">
        <v>1303</v>
      </c>
      <c r="G107" s="1" t="s">
        <v>21</v>
      </c>
      <c r="H107" s="1">
        <v>1.725</v>
      </c>
      <c r="I107" s="1">
        <v>1.49699999999999</v>
      </c>
      <c r="J107" s="1">
        <v>35.5643373141294</v>
      </c>
      <c r="K107" t="str">
        <f t="shared" si="6"/>
        <v>缺口过大</v>
      </c>
      <c r="L107" s="2">
        <f t="shared" si="7"/>
        <v>1406.625</v>
      </c>
      <c r="M107" s="2">
        <f t="shared" si="8"/>
        <v>2426.428125</v>
      </c>
      <c r="N107" s="2">
        <f t="shared" si="9"/>
        <v>1123.428125</v>
      </c>
      <c r="O107" s="2">
        <f t="shared" si="10"/>
        <v>438.35</v>
      </c>
      <c r="P107" s="2">
        <f t="shared" si="11"/>
        <v>876.7</v>
      </c>
    </row>
    <row r="108" spans="1:16">
      <c r="A108" s="1">
        <v>107</v>
      </c>
      <c r="B108" s="1">
        <v>27</v>
      </c>
      <c r="C108" s="1" t="s">
        <v>16</v>
      </c>
      <c r="D108" s="1">
        <v>156.9</v>
      </c>
      <c r="E108" s="1">
        <v>69.2</v>
      </c>
      <c r="F108" s="1">
        <v>1895</v>
      </c>
      <c r="G108" s="1" t="s">
        <v>19</v>
      </c>
      <c r="H108" s="1">
        <v>1.2</v>
      </c>
      <c r="I108" s="1">
        <v>1.569</v>
      </c>
      <c r="J108" s="1">
        <v>28.1099586840477</v>
      </c>
      <c r="K108" t="str">
        <f t="shared" si="6"/>
        <v>没有热量缺口</v>
      </c>
      <c r="L108" s="2">
        <f t="shared" si="7"/>
        <v>1542.625</v>
      </c>
      <c r="M108" s="2">
        <f t="shared" si="8"/>
        <v>1851.15</v>
      </c>
      <c r="N108" s="2">
        <f t="shared" si="9"/>
        <v>-43.8500000000001</v>
      </c>
      <c r="O108" s="2">
        <f t="shared" si="10"/>
        <v>380.6</v>
      </c>
      <c r="P108" s="2">
        <f t="shared" si="11"/>
        <v>761.2</v>
      </c>
    </row>
    <row r="109" spans="1:16">
      <c r="A109" s="1">
        <v>108</v>
      </c>
      <c r="B109" s="1">
        <v>32</v>
      </c>
      <c r="C109" s="1" t="s">
        <v>18</v>
      </c>
      <c r="D109" s="1">
        <v>140.3</v>
      </c>
      <c r="E109" s="1">
        <v>48</v>
      </c>
      <c r="F109" s="1">
        <v>2228</v>
      </c>
      <c r="G109" s="1" t="s">
        <v>21</v>
      </c>
      <c r="H109" s="1">
        <v>1.725</v>
      </c>
      <c r="I109" s="1">
        <v>1.403</v>
      </c>
      <c r="J109" s="1">
        <v>24.3851760482704</v>
      </c>
      <c r="K109" t="str">
        <f t="shared" si="6"/>
        <v>没有热量缺口</v>
      </c>
      <c r="L109" s="2">
        <f t="shared" si="7"/>
        <v>1035.875</v>
      </c>
      <c r="M109" s="2">
        <f t="shared" si="8"/>
        <v>1786.884375</v>
      </c>
      <c r="N109" s="2">
        <f t="shared" si="9"/>
        <v>-441.115625</v>
      </c>
      <c r="O109" s="2">
        <f t="shared" si="10"/>
        <v>264</v>
      </c>
      <c r="P109" s="2">
        <f t="shared" si="11"/>
        <v>528</v>
      </c>
    </row>
    <row r="110" spans="1:16">
      <c r="A110" s="1">
        <v>109</v>
      </c>
      <c r="B110" s="1">
        <v>31</v>
      </c>
      <c r="C110" s="1" t="s">
        <v>16</v>
      </c>
      <c r="D110" s="1">
        <v>189.1</v>
      </c>
      <c r="E110" s="1">
        <v>164.2</v>
      </c>
      <c r="F110" s="1">
        <v>2121</v>
      </c>
      <c r="G110" s="1" t="s">
        <v>17</v>
      </c>
      <c r="H110" s="1">
        <v>1.375</v>
      </c>
      <c r="I110" s="1">
        <v>1.891</v>
      </c>
      <c r="J110" s="1">
        <v>45.9187540077536</v>
      </c>
      <c r="K110" t="str">
        <f t="shared" si="6"/>
        <v>缺口合适</v>
      </c>
      <c r="L110" s="2">
        <f t="shared" si="7"/>
        <v>2673.875</v>
      </c>
      <c r="M110" s="2">
        <f t="shared" si="8"/>
        <v>3676.578125</v>
      </c>
      <c r="N110" s="2">
        <f t="shared" si="9"/>
        <v>1555.578125</v>
      </c>
      <c r="O110" s="2">
        <f t="shared" si="10"/>
        <v>903.1</v>
      </c>
      <c r="P110" s="2">
        <f t="shared" si="11"/>
        <v>1806.2</v>
      </c>
    </row>
    <row r="111" spans="1:16">
      <c r="A111" s="1">
        <v>110</v>
      </c>
      <c r="B111" s="1">
        <v>25</v>
      </c>
      <c r="C111" s="1" t="s">
        <v>16</v>
      </c>
      <c r="D111" s="1">
        <v>180.3</v>
      </c>
      <c r="E111" s="1">
        <v>72</v>
      </c>
      <c r="F111" s="1">
        <v>3368</v>
      </c>
      <c r="G111" s="1" t="s">
        <v>21</v>
      </c>
      <c r="H111" s="1">
        <v>1.725</v>
      </c>
      <c r="I111" s="1">
        <v>1.803</v>
      </c>
      <c r="J111" s="1">
        <v>22.1483329226663</v>
      </c>
      <c r="K111" t="str">
        <f t="shared" si="6"/>
        <v>没有热量缺口</v>
      </c>
      <c r="L111" s="2">
        <f t="shared" si="7"/>
        <v>1726.875</v>
      </c>
      <c r="M111" s="2">
        <f t="shared" si="8"/>
        <v>2978.859375</v>
      </c>
      <c r="N111" s="2">
        <f t="shared" si="9"/>
        <v>-389.140625</v>
      </c>
      <c r="O111" s="2">
        <f t="shared" si="10"/>
        <v>396</v>
      </c>
      <c r="P111" s="2">
        <f t="shared" si="11"/>
        <v>792</v>
      </c>
    </row>
    <row r="112" spans="1:16">
      <c r="A112" s="1">
        <v>111</v>
      </c>
      <c r="B112" s="1">
        <v>35</v>
      </c>
      <c r="C112" s="1" t="s">
        <v>16</v>
      </c>
      <c r="D112" s="1">
        <v>178.9</v>
      </c>
      <c r="E112" s="1">
        <v>73.2</v>
      </c>
      <c r="F112" s="1">
        <v>3329</v>
      </c>
      <c r="G112" s="1" t="s">
        <v>21</v>
      </c>
      <c r="H112" s="1">
        <v>1.725</v>
      </c>
      <c r="I112" s="1">
        <v>1.789</v>
      </c>
      <c r="J112" s="1">
        <v>22.8712762703322</v>
      </c>
      <c r="K112" t="str">
        <f t="shared" si="6"/>
        <v>没有热量缺口</v>
      </c>
      <c r="L112" s="2">
        <f t="shared" si="7"/>
        <v>1680.125</v>
      </c>
      <c r="M112" s="2">
        <f t="shared" si="8"/>
        <v>2898.215625</v>
      </c>
      <c r="N112" s="2">
        <f t="shared" si="9"/>
        <v>-430.784375</v>
      </c>
      <c r="O112" s="2">
        <f t="shared" si="10"/>
        <v>402.6</v>
      </c>
      <c r="P112" s="2">
        <f t="shared" si="11"/>
        <v>805.2</v>
      </c>
    </row>
    <row r="113" spans="1:16">
      <c r="A113" s="1">
        <v>112</v>
      </c>
      <c r="B113" s="1">
        <v>30</v>
      </c>
      <c r="C113" s="1" t="s">
        <v>18</v>
      </c>
      <c r="D113" s="1">
        <v>158.3</v>
      </c>
      <c r="E113" s="1">
        <v>73.8</v>
      </c>
      <c r="F113" s="1">
        <v>1564</v>
      </c>
      <c r="G113" s="1" t="s">
        <v>19</v>
      </c>
      <c r="H113" s="1">
        <v>1.2</v>
      </c>
      <c r="I113" s="1">
        <v>1.583</v>
      </c>
      <c r="J113" s="1">
        <v>29.4506261051467</v>
      </c>
      <c r="K113" t="str">
        <f t="shared" si="6"/>
        <v>缺口过小</v>
      </c>
      <c r="L113" s="2">
        <f t="shared" si="7"/>
        <v>1416.375</v>
      </c>
      <c r="M113" s="2">
        <f t="shared" si="8"/>
        <v>1699.65</v>
      </c>
      <c r="N113" s="2">
        <f t="shared" si="9"/>
        <v>135.65</v>
      </c>
      <c r="O113" s="2">
        <f t="shared" si="10"/>
        <v>405.9</v>
      </c>
      <c r="P113" s="2">
        <f t="shared" si="11"/>
        <v>811.8</v>
      </c>
    </row>
    <row r="114" spans="1:16">
      <c r="A114" s="1">
        <v>113</v>
      </c>
      <c r="B114" s="1">
        <v>34</v>
      </c>
      <c r="C114" s="1" t="s">
        <v>18</v>
      </c>
      <c r="D114" s="1">
        <v>165.4</v>
      </c>
      <c r="E114" s="1">
        <v>50.2</v>
      </c>
      <c r="F114" s="1">
        <v>1327</v>
      </c>
      <c r="G114" s="1" t="s">
        <v>17</v>
      </c>
      <c r="H114" s="1">
        <v>1.375</v>
      </c>
      <c r="I114" s="1">
        <v>1.654</v>
      </c>
      <c r="J114" s="1">
        <v>18.3498579530916</v>
      </c>
      <c r="K114" t="str">
        <f t="shared" si="6"/>
        <v>缺口合适</v>
      </c>
      <c r="L114" s="2">
        <f t="shared" si="7"/>
        <v>1204.75</v>
      </c>
      <c r="M114" s="2">
        <f t="shared" si="8"/>
        <v>1656.53125</v>
      </c>
      <c r="N114" s="2">
        <f t="shared" si="9"/>
        <v>329.53125</v>
      </c>
      <c r="O114" s="2">
        <f t="shared" si="10"/>
        <v>276.1</v>
      </c>
      <c r="P114" s="2">
        <f t="shared" si="11"/>
        <v>552.2</v>
      </c>
    </row>
    <row r="115" spans="1:16">
      <c r="A115" s="1">
        <v>114</v>
      </c>
      <c r="B115" s="1">
        <v>29</v>
      </c>
      <c r="C115" s="1" t="s">
        <v>18</v>
      </c>
      <c r="D115" s="1">
        <v>148.6</v>
      </c>
      <c r="E115" s="1">
        <v>72.4</v>
      </c>
      <c r="F115" s="1">
        <v>2033</v>
      </c>
      <c r="G115" s="1" t="s">
        <v>17</v>
      </c>
      <c r="H115" s="1">
        <v>1.375</v>
      </c>
      <c r="I115" s="1">
        <v>1.486</v>
      </c>
      <c r="J115" s="1">
        <v>32.7869446371608</v>
      </c>
      <c r="K115" t="str">
        <f t="shared" si="6"/>
        <v>没有热量缺口</v>
      </c>
      <c r="L115" s="2">
        <f t="shared" si="7"/>
        <v>1346.75</v>
      </c>
      <c r="M115" s="2">
        <f t="shared" si="8"/>
        <v>1851.78125</v>
      </c>
      <c r="N115" s="2">
        <f t="shared" si="9"/>
        <v>-181.21875</v>
      </c>
      <c r="O115" s="2">
        <f t="shared" si="10"/>
        <v>398.2</v>
      </c>
      <c r="P115" s="2">
        <f t="shared" si="11"/>
        <v>796.4</v>
      </c>
    </row>
    <row r="116" spans="1:16">
      <c r="A116" s="1">
        <v>115</v>
      </c>
      <c r="B116" s="1">
        <v>20</v>
      </c>
      <c r="C116" s="1" t="s">
        <v>16</v>
      </c>
      <c r="D116" s="1">
        <v>171.9</v>
      </c>
      <c r="E116" s="1">
        <v>75.7</v>
      </c>
      <c r="F116" s="1">
        <v>1959</v>
      </c>
      <c r="G116" s="1" t="s">
        <v>21</v>
      </c>
      <c r="H116" s="1">
        <v>1.725</v>
      </c>
      <c r="I116" s="1">
        <v>1.719</v>
      </c>
      <c r="J116" s="1">
        <v>25.6179353974553</v>
      </c>
      <c r="K116" t="str">
        <f t="shared" si="6"/>
        <v>缺口过大</v>
      </c>
      <c r="L116" s="2">
        <f t="shared" si="7"/>
        <v>1736.375</v>
      </c>
      <c r="M116" s="2">
        <f t="shared" si="8"/>
        <v>2995.246875</v>
      </c>
      <c r="N116" s="2">
        <f t="shared" si="9"/>
        <v>1036.246875</v>
      </c>
      <c r="O116" s="2">
        <f t="shared" si="10"/>
        <v>416.35</v>
      </c>
      <c r="P116" s="2">
        <f t="shared" si="11"/>
        <v>832.7</v>
      </c>
    </row>
    <row r="117" spans="1:16">
      <c r="A117" s="1">
        <v>116</v>
      </c>
      <c r="B117" s="1">
        <v>26</v>
      </c>
      <c r="C117" s="1" t="s">
        <v>18</v>
      </c>
      <c r="D117" s="1">
        <v>147.2</v>
      </c>
      <c r="E117" s="1">
        <v>102.2</v>
      </c>
      <c r="F117" s="1">
        <v>795</v>
      </c>
      <c r="G117" s="1" t="s">
        <v>17</v>
      </c>
      <c r="H117" s="1">
        <v>1.375</v>
      </c>
      <c r="I117" s="1">
        <v>1.472</v>
      </c>
      <c r="J117" s="1">
        <v>47.1666765122873</v>
      </c>
      <c r="K117" t="str">
        <f t="shared" si="6"/>
        <v>缺口过大</v>
      </c>
      <c r="L117" s="2">
        <f t="shared" si="7"/>
        <v>1651</v>
      </c>
      <c r="M117" s="2">
        <f t="shared" si="8"/>
        <v>2270.125</v>
      </c>
      <c r="N117" s="2">
        <f t="shared" si="9"/>
        <v>1475.125</v>
      </c>
      <c r="O117" s="2">
        <f t="shared" si="10"/>
        <v>562.1</v>
      </c>
      <c r="P117" s="2">
        <f t="shared" si="11"/>
        <v>1124.2</v>
      </c>
    </row>
    <row r="118" spans="1:16">
      <c r="A118" s="1">
        <v>117</v>
      </c>
      <c r="B118" s="1">
        <v>34</v>
      </c>
      <c r="C118" s="1" t="s">
        <v>18</v>
      </c>
      <c r="D118" s="1">
        <v>168.5</v>
      </c>
      <c r="E118" s="1">
        <v>71.1</v>
      </c>
      <c r="F118" s="1">
        <v>2663</v>
      </c>
      <c r="G118" s="1" t="s">
        <v>21</v>
      </c>
      <c r="H118" s="1">
        <v>1.725</v>
      </c>
      <c r="I118" s="1">
        <v>1.685</v>
      </c>
      <c r="J118" s="1">
        <v>25.042044924231</v>
      </c>
      <c r="K118" t="str">
        <f t="shared" si="6"/>
        <v>没有热量缺口</v>
      </c>
      <c r="L118" s="2">
        <f t="shared" si="7"/>
        <v>1433.125</v>
      </c>
      <c r="M118" s="2">
        <f t="shared" si="8"/>
        <v>2472.140625</v>
      </c>
      <c r="N118" s="2">
        <f t="shared" si="9"/>
        <v>-190.859375</v>
      </c>
      <c r="O118" s="2">
        <f t="shared" si="10"/>
        <v>391.05</v>
      </c>
      <c r="P118" s="2">
        <f t="shared" si="11"/>
        <v>782.1</v>
      </c>
    </row>
    <row r="119" spans="1:16">
      <c r="A119" s="1">
        <v>118</v>
      </c>
      <c r="B119" s="1">
        <v>32</v>
      </c>
      <c r="C119" s="1" t="s">
        <v>18</v>
      </c>
      <c r="D119" s="1">
        <v>163.5</v>
      </c>
      <c r="E119" s="1">
        <v>80</v>
      </c>
      <c r="F119" s="1">
        <v>2600</v>
      </c>
      <c r="G119" s="1" t="s">
        <v>19</v>
      </c>
      <c r="H119" s="1">
        <v>1.2</v>
      </c>
      <c r="I119" s="1">
        <v>1.635</v>
      </c>
      <c r="J119" s="1">
        <v>29.9263997605888</v>
      </c>
      <c r="K119" t="str">
        <f t="shared" si="6"/>
        <v>没有热量缺口</v>
      </c>
      <c r="L119" s="2">
        <f t="shared" si="7"/>
        <v>1500.875</v>
      </c>
      <c r="M119" s="2">
        <f t="shared" si="8"/>
        <v>1801.05</v>
      </c>
      <c r="N119" s="2">
        <f t="shared" si="9"/>
        <v>-798.95</v>
      </c>
      <c r="O119" s="2">
        <f t="shared" si="10"/>
        <v>440</v>
      </c>
      <c r="P119" s="2">
        <f t="shared" si="11"/>
        <v>880</v>
      </c>
    </row>
    <row r="120" spans="1:16">
      <c r="A120" s="1">
        <v>119</v>
      </c>
      <c r="B120" s="1">
        <v>24</v>
      </c>
      <c r="C120" s="1" t="s">
        <v>16</v>
      </c>
      <c r="D120" s="1">
        <v>183.4</v>
      </c>
      <c r="E120" s="1">
        <v>85.1</v>
      </c>
      <c r="F120" s="1">
        <v>2581</v>
      </c>
      <c r="G120" s="1" t="s">
        <v>20</v>
      </c>
      <c r="H120" s="1">
        <v>1.55</v>
      </c>
      <c r="I120" s="1">
        <v>1.834</v>
      </c>
      <c r="J120" s="1">
        <v>25.300604479307</v>
      </c>
      <c r="K120" t="str">
        <f t="shared" si="6"/>
        <v>缺口过小</v>
      </c>
      <c r="L120" s="2">
        <f t="shared" si="7"/>
        <v>1882.25</v>
      </c>
      <c r="M120" s="2">
        <f t="shared" si="8"/>
        <v>2917.4875</v>
      </c>
      <c r="N120" s="2">
        <f t="shared" si="9"/>
        <v>336.4875</v>
      </c>
      <c r="O120" s="2">
        <f t="shared" si="10"/>
        <v>468.05</v>
      </c>
      <c r="P120" s="2">
        <f t="shared" si="11"/>
        <v>936.1</v>
      </c>
    </row>
    <row r="121" spans="1:16">
      <c r="A121" s="1">
        <v>120</v>
      </c>
      <c r="B121" s="1">
        <v>34</v>
      </c>
      <c r="C121" s="1" t="s">
        <v>16</v>
      </c>
      <c r="D121" s="1">
        <v>180.4</v>
      </c>
      <c r="E121" s="1">
        <v>105</v>
      </c>
      <c r="F121" s="1">
        <v>3304</v>
      </c>
      <c r="G121" s="1" t="s">
        <v>17</v>
      </c>
      <c r="H121" s="1">
        <v>1.375</v>
      </c>
      <c r="I121" s="1">
        <v>1.804</v>
      </c>
      <c r="J121" s="1">
        <v>32.2638531767297</v>
      </c>
      <c r="K121" t="str">
        <f t="shared" si="6"/>
        <v>没有热量缺口</v>
      </c>
      <c r="L121" s="2">
        <f t="shared" si="7"/>
        <v>2012.5</v>
      </c>
      <c r="M121" s="2">
        <f t="shared" si="8"/>
        <v>2767.1875</v>
      </c>
      <c r="N121" s="2">
        <f t="shared" si="9"/>
        <v>-536.8125</v>
      </c>
      <c r="O121" s="2">
        <f t="shared" si="10"/>
        <v>577.5</v>
      </c>
      <c r="P121" s="2">
        <f t="shared" si="11"/>
        <v>1155</v>
      </c>
    </row>
    <row r="122" spans="1:16">
      <c r="A122" s="1">
        <v>121</v>
      </c>
      <c r="B122" s="1">
        <v>28</v>
      </c>
      <c r="C122" s="1" t="s">
        <v>16</v>
      </c>
      <c r="D122" s="1">
        <v>179.7</v>
      </c>
      <c r="E122" s="1">
        <v>143.3</v>
      </c>
      <c r="F122" s="1">
        <v>1935</v>
      </c>
      <c r="G122" s="1" t="s">
        <v>21</v>
      </c>
      <c r="H122" s="1">
        <v>1.725</v>
      </c>
      <c r="I122" s="1">
        <v>1.797</v>
      </c>
      <c r="J122" s="1">
        <v>44.3761924359804</v>
      </c>
      <c r="K122" t="str">
        <f t="shared" si="6"/>
        <v>缺口过大</v>
      </c>
      <c r="L122" s="2">
        <f t="shared" si="7"/>
        <v>2421.125</v>
      </c>
      <c r="M122" s="2">
        <f t="shared" si="8"/>
        <v>4176.440625</v>
      </c>
      <c r="N122" s="2">
        <f t="shared" si="9"/>
        <v>2241.440625</v>
      </c>
      <c r="O122" s="2">
        <f t="shared" si="10"/>
        <v>788.15</v>
      </c>
      <c r="P122" s="2">
        <f t="shared" si="11"/>
        <v>1576.3</v>
      </c>
    </row>
    <row r="123" spans="1:16">
      <c r="A123" s="1">
        <v>122</v>
      </c>
      <c r="B123" s="1">
        <v>30</v>
      </c>
      <c r="C123" s="1" t="s">
        <v>16</v>
      </c>
      <c r="D123" s="1">
        <v>173.8</v>
      </c>
      <c r="E123" s="1">
        <v>57.3</v>
      </c>
      <c r="F123" s="1">
        <v>1542</v>
      </c>
      <c r="G123" s="1" t="s">
        <v>21</v>
      </c>
      <c r="H123" s="1">
        <v>1.725</v>
      </c>
      <c r="I123" s="1">
        <v>1.738</v>
      </c>
      <c r="J123" s="1">
        <v>18.9694647896276</v>
      </c>
      <c r="K123" t="str">
        <f t="shared" si="6"/>
        <v>缺口过大</v>
      </c>
      <c r="L123" s="2">
        <f t="shared" si="7"/>
        <v>1514.25</v>
      </c>
      <c r="M123" s="2">
        <f t="shared" si="8"/>
        <v>2612.08125</v>
      </c>
      <c r="N123" s="2">
        <f t="shared" si="9"/>
        <v>1070.08125</v>
      </c>
      <c r="O123" s="2">
        <f t="shared" si="10"/>
        <v>315.15</v>
      </c>
      <c r="P123" s="2">
        <f t="shared" si="11"/>
        <v>630.3</v>
      </c>
    </row>
    <row r="124" spans="1:16">
      <c r="A124" s="1">
        <v>123</v>
      </c>
      <c r="B124" s="1">
        <v>31</v>
      </c>
      <c r="C124" s="1" t="s">
        <v>18</v>
      </c>
      <c r="D124" s="1">
        <v>146.7</v>
      </c>
      <c r="E124" s="1">
        <v>60.5</v>
      </c>
      <c r="F124" s="1">
        <v>2049</v>
      </c>
      <c r="G124" s="1" t="s">
        <v>17</v>
      </c>
      <c r="H124" s="1">
        <v>1.375</v>
      </c>
      <c r="I124" s="1">
        <v>1.46699999999999</v>
      </c>
      <c r="J124" s="1">
        <v>28.1122202659834</v>
      </c>
      <c r="K124" t="str">
        <f t="shared" si="6"/>
        <v>没有热量缺口</v>
      </c>
      <c r="L124" s="2">
        <f t="shared" si="7"/>
        <v>1205.875</v>
      </c>
      <c r="M124" s="2">
        <f t="shared" si="8"/>
        <v>1658.078125</v>
      </c>
      <c r="N124" s="2">
        <f t="shared" si="9"/>
        <v>-390.921875</v>
      </c>
      <c r="O124" s="2">
        <f t="shared" si="10"/>
        <v>332.75</v>
      </c>
      <c r="P124" s="2">
        <f t="shared" si="11"/>
        <v>665.5</v>
      </c>
    </row>
    <row r="125" spans="1:16">
      <c r="A125" s="1">
        <v>124</v>
      </c>
      <c r="B125" s="1">
        <v>30</v>
      </c>
      <c r="C125" s="1" t="s">
        <v>16</v>
      </c>
      <c r="D125" s="1">
        <v>186.5</v>
      </c>
      <c r="E125" s="1">
        <v>88.9</v>
      </c>
      <c r="F125" s="1">
        <v>739</v>
      </c>
      <c r="G125" s="1" t="s">
        <v>20</v>
      </c>
      <c r="H125" s="1">
        <v>1.55</v>
      </c>
      <c r="I125" s="1">
        <v>1.865</v>
      </c>
      <c r="J125" s="1">
        <v>25.5590135773275</v>
      </c>
      <c r="K125" t="str">
        <f t="shared" si="6"/>
        <v>缺口过大</v>
      </c>
      <c r="L125" s="2">
        <f t="shared" si="7"/>
        <v>1909.625</v>
      </c>
      <c r="M125" s="2">
        <f t="shared" si="8"/>
        <v>2959.91875</v>
      </c>
      <c r="N125" s="2">
        <f t="shared" si="9"/>
        <v>2220.91875</v>
      </c>
      <c r="O125" s="2">
        <f t="shared" si="10"/>
        <v>488.95</v>
      </c>
      <c r="P125" s="2">
        <f t="shared" si="11"/>
        <v>977.9</v>
      </c>
    </row>
    <row r="126" spans="1:16">
      <c r="A126" s="1">
        <v>125</v>
      </c>
      <c r="B126" s="1">
        <v>22</v>
      </c>
      <c r="C126" s="1" t="s">
        <v>18</v>
      </c>
      <c r="D126" s="1">
        <v>173</v>
      </c>
      <c r="E126" s="1">
        <v>64.6</v>
      </c>
      <c r="F126" s="1">
        <v>1249</v>
      </c>
      <c r="G126" s="1" t="s">
        <v>19</v>
      </c>
      <c r="H126" s="1">
        <v>1.2</v>
      </c>
      <c r="I126" s="1">
        <v>1.73</v>
      </c>
      <c r="J126" s="1">
        <v>21.5844164522703</v>
      </c>
      <c r="K126" t="str">
        <f t="shared" si="6"/>
        <v>缺口合适</v>
      </c>
      <c r="L126" s="2">
        <f t="shared" si="7"/>
        <v>1456.25</v>
      </c>
      <c r="M126" s="2">
        <f t="shared" si="8"/>
        <v>1747.5</v>
      </c>
      <c r="N126" s="2">
        <f t="shared" si="9"/>
        <v>498.5</v>
      </c>
      <c r="O126" s="2">
        <f t="shared" si="10"/>
        <v>355.3</v>
      </c>
      <c r="P126" s="2">
        <f t="shared" si="11"/>
        <v>710.6</v>
      </c>
    </row>
    <row r="127" spans="1:16">
      <c r="A127" s="1">
        <v>126</v>
      </c>
      <c r="B127" s="1">
        <v>22</v>
      </c>
      <c r="C127" s="1" t="s">
        <v>18</v>
      </c>
      <c r="D127" s="1">
        <v>163.9</v>
      </c>
      <c r="E127" s="1">
        <v>134.8</v>
      </c>
      <c r="F127" s="1">
        <v>1034</v>
      </c>
      <c r="G127" s="1" t="s">
        <v>17</v>
      </c>
      <c r="H127" s="1">
        <v>1.375</v>
      </c>
      <c r="I127" s="1">
        <v>1.639</v>
      </c>
      <c r="J127" s="1">
        <v>50.1801534515048</v>
      </c>
      <c r="K127" t="str">
        <f t="shared" si="6"/>
        <v>缺口过大</v>
      </c>
      <c r="L127" s="2">
        <f t="shared" si="7"/>
        <v>2101.375</v>
      </c>
      <c r="M127" s="2">
        <f t="shared" si="8"/>
        <v>2889.390625</v>
      </c>
      <c r="N127" s="2">
        <f t="shared" si="9"/>
        <v>1855.390625</v>
      </c>
      <c r="O127" s="2">
        <f t="shared" si="10"/>
        <v>741.4</v>
      </c>
      <c r="P127" s="2">
        <f t="shared" si="11"/>
        <v>1482.8</v>
      </c>
    </row>
    <row r="128" spans="1:16">
      <c r="A128" s="1">
        <v>127</v>
      </c>
      <c r="B128" s="1">
        <v>25</v>
      </c>
      <c r="C128" s="1" t="s">
        <v>18</v>
      </c>
      <c r="D128" s="1">
        <v>161</v>
      </c>
      <c r="E128" s="1">
        <v>124.4</v>
      </c>
      <c r="F128" s="1">
        <v>1497</v>
      </c>
      <c r="G128" s="1" t="s">
        <v>19</v>
      </c>
      <c r="H128" s="1">
        <v>1.2</v>
      </c>
      <c r="I128" s="1">
        <v>1.61</v>
      </c>
      <c r="J128" s="1">
        <v>47.9919756182246</v>
      </c>
      <c r="K128" t="str">
        <f t="shared" si="6"/>
        <v>缺口合适</v>
      </c>
      <c r="L128" s="2">
        <f t="shared" si="7"/>
        <v>1964.25</v>
      </c>
      <c r="M128" s="2">
        <f t="shared" si="8"/>
        <v>2357.1</v>
      </c>
      <c r="N128" s="2">
        <f t="shared" si="9"/>
        <v>860.1</v>
      </c>
      <c r="O128" s="2">
        <f t="shared" si="10"/>
        <v>684.2</v>
      </c>
      <c r="P128" s="2">
        <f t="shared" si="11"/>
        <v>1368.4</v>
      </c>
    </row>
    <row r="129" spans="1:16">
      <c r="A129" s="1">
        <v>128</v>
      </c>
      <c r="B129" s="1">
        <v>26</v>
      </c>
      <c r="C129" s="1" t="s">
        <v>16</v>
      </c>
      <c r="D129" s="1">
        <v>174.6</v>
      </c>
      <c r="E129" s="1">
        <v>83.1</v>
      </c>
      <c r="F129" s="1">
        <v>2489</v>
      </c>
      <c r="G129" s="1" t="s">
        <v>21</v>
      </c>
      <c r="H129" s="1">
        <v>1.725</v>
      </c>
      <c r="I129" s="1">
        <v>1.746</v>
      </c>
      <c r="J129" s="1">
        <v>27.2591647870636</v>
      </c>
      <c r="K129" t="str">
        <f t="shared" si="6"/>
        <v>缺口合适</v>
      </c>
      <c r="L129" s="2">
        <f t="shared" si="7"/>
        <v>1797.25</v>
      </c>
      <c r="M129" s="2">
        <f t="shared" si="8"/>
        <v>3100.25625</v>
      </c>
      <c r="N129" s="2">
        <f t="shared" si="9"/>
        <v>611.25625</v>
      </c>
      <c r="O129" s="2">
        <f t="shared" si="10"/>
        <v>457.05</v>
      </c>
      <c r="P129" s="2">
        <f t="shared" si="11"/>
        <v>914.1</v>
      </c>
    </row>
    <row r="130" spans="1:16">
      <c r="A130" s="1">
        <v>129</v>
      </c>
      <c r="B130" s="1">
        <v>29</v>
      </c>
      <c r="C130" s="1" t="s">
        <v>18</v>
      </c>
      <c r="D130" s="1">
        <v>155.9</v>
      </c>
      <c r="E130" s="1">
        <v>63.5</v>
      </c>
      <c r="F130" s="1">
        <v>2095</v>
      </c>
      <c r="G130" s="1" t="s">
        <v>21</v>
      </c>
      <c r="H130" s="1">
        <v>1.725</v>
      </c>
      <c r="I130" s="1">
        <v>1.559</v>
      </c>
      <c r="J130" s="1">
        <v>26.1265156979215</v>
      </c>
      <c r="K130" t="str">
        <f t="shared" ref="K130:K193" si="12">IF(N130&lt;=0,"没有热量缺口",IF(N130&lt;O130,"缺口过小",IF(N130&lt;=P130,"缺口合适","缺口过大")))</f>
        <v>缺口过小</v>
      </c>
      <c r="L130" s="2">
        <f t="shared" ref="L130:L193" si="13">IF(C130="male",10*E130+6.25*D130-5*B130+5,10*E130+6.25*D130-5*B130-161)</f>
        <v>1303.375</v>
      </c>
      <c r="M130" s="2">
        <f t="shared" ref="M130:M193" si="14">L130*H130</f>
        <v>2248.321875</v>
      </c>
      <c r="N130" s="2">
        <f t="shared" ref="N130:N193" si="15">M130-F130</f>
        <v>153.321875</v>
      </c>
      <c r="O130" s="2">
        <f t="shared" ref="O130:O193" si="16">E130*0.005*7700/7</f>
        <v>349.25</v>
      </c>
      <c r="P130" s="2">
        <f t="shared" ref="P130:P193" si="17">E130*0.01*7700/7</f>
        <v>698.5</v>
      </c>
    </row>
    <row r="131" spans="1:16">
      <c r="A131" s="1">
        <v>130</v>
      </c>
      <c r="B131" s="1">
        <v>28</v>
      </c>
      <c r="C131" s="1" t="s">
        <v>16</v>
      </c>
      <c r="D131" s="1">
        <v>181.8</v>
      </c>
      <c r="E131" s="1">
        <v>93.3</v>
      </c>
      <c r="F131" s="1">
        <v>2001</v>
      </c>
      <c r="G131" s="1" t="s">
        <v>19</v>
      </c>
      <c r="H131" s="1">
        <v>1.2</v>
      </c>
      <c r="I131" s="1">
        <v>1.818</v>
      </c>
      <c r="J131" s="1">
        <v>28.2288954968104</v>
      </c>
      <c r="K131" t="str">
        <f t="shared" si="12"/>
        <v>缺口过小</v>
      </c>
      <c r="L131" s="2">
        <f t="shared" si="13"/>
        <v>1934.25</v>
      </c>
      <c r="M131" s="2">
        <f t="shared" si="14"/>
        <v>2321.1</v>
      </c>
      <c r="N131" s="2">
        <f t="shared" si="15"/>
        <v>320.1</v>
      </c>
      <c r="O131" s="2">
        <f t="shared" si="16"/>
        <v>513.15</v>
      </c>
      <c r="P131" s="2">
        <f t="shared" si="17"/>
        <v>1026.3</v>
      </c>
    </row>
    <row r="132" spans="1:16">
      <c r="A132" s="1">
        <v>131</v>
      </c>
      <c r="B132" s="1">
        <v>29</v>
      </c>
      <c r="C132" s="1" t="s">
        <v>18</v>
      </c>
      <c r="D132" s="1">
        <v>162.8</v>
      </c>
      <c r="E132" s="1">
        <v>73.8</v>
      </c>
      <c r="F132" s="1">
        <v>1289</v>
      </c>
      <c r="G132" s="1" t="s">
        <v>17</v>
      </c>
      <c r="H132" s="1">
        <v>1.375</v>
      </c>
      <c r="I132" s="1">
        <v>1.628</v>
      </c>
      <c r="J132" s="1">
        <v>27.8450217025155</v>
      </c>
      <c r="K132" t="str">
        <f t="shared" si="12"/>
        <v>缺口合适</v>
      </c>
      <c r="L132" s="2">
        <f t="shared" si="13"/>
        <v>1449.5</v>
      </c>
      <c r="M132" s="2">
        <f t="shared" si="14"/>
        <v>1993.0625</v>
      </c>
      <c r="N132" s="2">
        <f t="shared" si="15"/>
        <v>704.0625</v>
      </c>
      <c r="O132" s="2">
        <f t="shared" si="16"/>
        <v>405.9</v>
      </c>
      <c r="P132" s="2">
        <f t="shared" si="17"/>
        <v>811.8</v>
      </c>
    </row>
    <row r="133" spans="1:16">
      <c r="A133" s="1">
        <v>132</v>
      </c>
      <c r="B133" s="1">
        <v>31</v>
      </c>
      <c r="C133" s="1" t="s">
        <v>18</v>
      </c>
      <c r="D133" s="1">
        <v>163</v>
      </c>
      <c r="E133" s="1">
        <v>64.9</v>
      </c>
      <c r="F133" s="1">
        <v>2009</v>
      </c>
      <c r="G133" s="1" t="s">
        <v>21</v>
      </c>
      <c r="H133" s="1">
        <v>1.725</v>
      </c>
      <c r="I133" s="1">
        <v>1.63</v>
      </c>
      <c r="J133" s="1">
        <v>24.4269637547517</v>
      </c>
      <c r="K133" t="str">
        <f t="shared" si="12"/>
        <v>缺口过小</v>
      </c>
      <c r="L133" s="2">
        <f t="shared" si="13"/>
        <v>1351.75</v>
      </c>
      <c r="M133" s="2">
        <f t="shared" si="14"/>
        <v>2331.76875</v>
      </c>
      <c r="N133" s="2">
        <f t="shared" si="15"/>
        <v>322.76875</v>
      </c>
      <c r="O133" s="2">
        <f t="shared" si="16"/>
        <v>356.95</v>
      </c>
      <c r="P133" s="2">
        <f t="shared" si="17"/>
        <v>713.9</v>
      </c>
    </row>
    <row r="134" spans="1:16">
      <c r="A134" s="1">
        <v>133</v>
      </c>
      <c r="B134" s="1">
        <v>21</v>
      </c>
      <c r="C134" s="1" t="s">
        <v>16</v>
      </c>
      <c r="D134" s="1">
        <v>161.5</v>
      </c>
      <c r="E134" s="1">
        <v>50.1</v>
      </c>
      <c r="F134" s="1">
        <v>3969</v>
      </c>
      <c r="G134" s="1" t="s">
        <v>21</v>
      </c>
      <c r="H134" s="1">
        <v>1.725</v>
      </c>
      <c r="I134" s="1">
        <v>1.615</v>
      </c>
      <c r="J134" s="1">
        <v>19.2084655273222</v>
      </c>
      <c r="K134" t="str">
        <f t="shared" si="12"/>
        <v>没有热量缺口</v>
      </c>
      <c r="L134" s="2">
        <f t="shared" si="13"/>
        <v>1410.375</v>
      </c>
      <c r="M134" s="2">
        <f t="shared" si="14"/>
        <v>2432.896875</v>
      </c>
      <c r="N134" s="2">
        <f t="shared" si="15"/>
        <v>-1536.103125</v>
      </c>
      <c r="O134" s="2">
        <f t="shared" si="16"/>
        <v>275.55</v>
      </c>
      <c r="P134" s="2">
        <f t="shared" si="17"/>
        <v>551.1</v>
      </c>
    </row>
    <row r="135" spans="1:16">
      <c r="A135" s="1">
        <v>134</v>
      </c>
      <c r="B135" s="1">
        <v>21</v>
      </c>
      <c r="C135" s="1" t="s">
        <v>16</v>
      </c>
      <c r="D135" s="1">
        <v>175.9</v>
      </c>
      <c r="E135" s="1">
        <v>66.3</v>
      </c>
      <c r="F135" s="1">
        <v>1745</v>
      </c>
      <c r="G135" s="1" t="s">
        <v>21</v>
      </c>
      <c r="H135" s="1">
        <v>1.725</v>
      </c>
      <c r="I135" s="1">
        <v>1.759</v>
      </c>
      <c r="J135" s="1">
        <v>21.4280104496294</v>
      </c>
      <c r="K135" t="str">
        <f t="shared" si="12"/>
        <v>缺口过大</v>
      </c>
      <c r="L135" s="2">
        <f t="shared" si="13"/>
        <v>1662.375</v>
      </c>
      <c r="M135" s="2">
        <f t="shared" si="14"/>
        <v>2867.596875</v>
      </c>
      <c r="N135" s="2">
        <f t="shared" si="15"/>
        <v>1122.596875</v>
      </c>
      <c r="O135" s="2">
        <f t="shared" si="16"/>
        <v>364.65</v>
      </c>
      <c r="P135" s="2">
        <f t="shared" si="17"/>
        <v>729.3</v>
      </c>
    </row>
    <row r="136" spans="1:16">
      <c r="A136" s="1">
        <v>135</v>
      </c>
      <c r="B136" s="1">
        <v>27</v>
      </c>
      <c r="C136" s="1" t="s">
        <v>16</v>
      </c>
      <c r="D136" s="1">
        <v>174.1</v>
      </c>
      <c r="E136" s="1">
        <v>73.9</v>
      </c>
      <c r="F136" s="1">
        <v>3189</v>
      </c>
      <c r="G136" s="1" t="s">
        <v>21</v>
      </c>
      <c r="H136" s="1">
        <v>1.725</v>
      </c>
      <c r="I136" s="1">
        <v>1.74099999999999</v>
      </c>
      <c r="J136" s="1">
        <v>24.3807407324317</v>
      </c>
      <c r="K136" t="str">
        <f t="shared" si="12"/>
        <v>没有热量缺口</v>
      </c>
      <c r="L136" s="2">
        <f t="shared" si="13"/>
        <v>1697.125</v>
      </c>
      <c r="M136" s="2">
        <f t="shared" si="14"/>
        <v>2927.540625</v>
      </c>
      <c r="N136" s="2">
        <f t="shared" si="15"/>
        <v>-261.459375</v>
      </c>
      <c r="O136" s="2">
        <f t="shared" si="16"/>
        <v>406.45</v>
      </c>
      <c r="P136" s="2">
        <f t="shared" si="17"/>
        <v>812.9</v>
      </c>
    </row>
    <row r="137" spans="1:16">
      <c r="A137" s="1">
        <v>136</v>
      </c>
      <c r="B137" s="1">
        <v>29</v>
      </c>
      <c r="C137" s="1" t="s">
        <v>16</v>
      </c>
      <c r="D137" s="1">
        <v>174.2</v>
      </c>
      <c r="E137" s="1">
        <v>62.3</v>
      </c>
      <c r="F137" s="1">
        <v>434</v>
      </c>
      <c r="G137" s="1" t="s">
        <v>17</v>
      </c>
      <c r="H137" s="1">
        <v>1.375</v>
      </c>
      <c r="I137" s="1">
        <v>1.742</v>
      </c>
      <c r="J137" s="1">
        <v>20.5301321705523</v>
      </c>
      <c r="K137" t="str">
        <f t="shared" si="12"/>
        <v>缺口过大</v>
      </c>
      <c r="L137" s="2">
        <f t="shared" si="13"/>
        <v>1571.75</v>
      </c>
      <c r="M137" s="2">
        <f t="shared" si="14"/>
        <v>2161.15625</v>
      </c>
      <c r="N137" s="2">
        <f t="shared" si="15"/>
        <v>1727.15625</v>
      </c>
      <c r="O137" s="2">
        <f t="shared" si="16"/>
        <v>342.65</v>
      </c>
      <c r="P137" s="2">
        <f t="shared" si="17"/>
        <v>685.3</v>
      </c>
    </row>
    <row r="138" spans="1:16">
      <c r="A138" s="1">
        <v>137</v>
      </c>
      <c r="B138" s="1">
        <v>35</v>
      </c>
      <c r="C138" s="1" t="s">
        <v>16</v>
      </c>
      <c r="D138" s="1">
        <v>170.2</v>
      </c>
      <c r="E138" s="1">
        <v>74.8</v>
      </c>
      <c r="F138" s="1">
        <v>958</v>
      </c>
      <c r="G138" s="1" t="s">
        <v>17</v>
      </c>
      <c r="H138" s="1">
        <v>1.375</v>
      </c>
      <c r="I138" s="1">
        <v>1.702</v>
      </c>
      <c r="J138" s="1">
        <v>25.821560588842</v>
      </c>
      <c r="K138" t="str">
        <f t="shared" si="12"/>
        <v>缺口过大</v>
      </c>
      <c r="L138" s="2">
        <f t="shared" si="13"/>
        <v>1641.75</v>
      </c>
      <c r="M138" s="2">
        <f t="shared" si="14"/>
        <v>2257.40625</v>
      </c>
      <c r="N138" s="2">
        <f t="shared" si="15"/>
        <v>1299.40625</v>
      </c>
      <c r="O138" s="2">
        <f t="shared" si="16"/>
        <v>411.4</v>
      </c>
      <c r="P138" s="2">
        <f t="shared" si="17"/>
        <v>822.8</v>
      </c>
    </row>
    <row r="139" spans="1:16">
      <c r="A139" s="1">
        <v>138</v>
      </c>
      <c r="B139" s="1">
        <v>24</v>
      </c>
      <c r="C139" s="1" t="s">
        <v>16</v>
      </c>
      <c r="D139" s="1">
        <v>168.9</v>
      </c>
      <c r="E139" s="1">
        <v>64.5</v>
      </c>
      <c r="F139" s="1">
        <v>2058</v>
      </c>
      <c r="G139" s="1" t="s">
        <v>21</v>
      </c>
      <c r="H139" s="1">
        <v>1.725</v>
      </c>
      <c r="I139" s="1">
        <v>1.689</v>
      </c>
      <c r="J139" s="1">
        <v>22.6099923546677</v>
      </c>
      <c r="K139" t="str">
        <f t="shared" si="12"/>
        <v>缺口合适</v>
      </c>
      <c r="L139" s="2">
        <f t="shared" si="13"/>
        <v>1585.625</v>
      </c>
      <c r="M139" s="2">
        <f t="shared" si="14"/>
        <v>2735.203125</v>
      </c>
      <c r="N139" s="2">
        <f t="shared" si="15"/>
        <v>677.203125</v>
      </c>
      <c r="O139" s="2">
        <f t="shared" si="16"/>
        <v>354.75</v>
      </c>
      <c r="P139" s="2">
        <f t="shared" si="17"/>
        <v>709.5</v>
      </c>
    </row>
    <row r="140" spans="1:16">
      <c r="A140" s="1">
        <v>139</v>
      </c>
      <c r="B140" s="1">
        <v>29</v>
      </c>
      <c r="C140" s="1" t="s">
        <v>18</v>
      </c>
      <c r="D140" s="1">
        <v>164.8</v>
      </c>
      <c r="E140" s="1">
        <v>54.4</v>
      </c>
      <c r="F140" s="1">
        <v>1854</v>
      </c>
      <c r="G140" s="1" t="s">
        <v>21</v>
      </c>
      <c r="H140" s="1">
        <v>1.725</v>
      </c>
      <c r="I140" s="1">
        <v>1.648</v>
      </c>
      <c r="J140" s="1">
        <v>20.0301630690922</v>
      </c>
      <c r="K140" t="str">
        <f t="shared" si="12"/>
        <v>缺口合适</v>
      </c>
      <c r="L140" s="2">
        <f t="shared" si="13"/>
        <v>1268</v>
      </c>
      <c r="M140" s="2">
        <f t="shared" si="14"/>
        <v>2187.3</v>
      </c>
      <c r="N140" s="2">
        <f t="shared" si="15"/>
        <v>333.3</v>
      </c>
      <c r="O140" s="2">
        <f t="shared" si="16"/>
        <v>299.2</v>
      </c>
      <c r="P140" s="2">
        <f t="shared" si="17"/>
        <v>598.4</v>
      </c>
    </row>
    <row r="141" spans="1:16">
      <c r="A141" s="1">
        <v>140</v>
      </c>
      <c r="B141" s="1">
        <v>26</v>
      </c>
      <c r="C141" s="1" t="s">
        <v>16</v>
      </c>
      <c r="D141" s="1">
        <v>176.3</v>
      </c>
      <c r="E141" s="1">
        <v>100.7</v>
      </c>
      <c r="F141" s="1">
        <v>1933</v>
      </c>
      <c r="G141" s="1" t="s">
        <v>21</v>
      </c>
      <c r="H141" s="1">
        <v>1.725</v>
      </c>
      <c r="I141" s="1">
        <v>1.763</v>
      </c>
      <c r="J141" s="1">
        <v>32.3984957059928</v>
      </c>
      <c r="K141" t="str">
        <f t="shared" si="12"/>
        <v>缺口过大</v>
      </c>
      <c r="L141" s="2">
        <f t="shared" si="13"/>
        <v>1983.875</v>
      </c>
      <c r="M141" s="2">
        <f t="shared" si="14"/>
        <v>3422.184375</v>
      </c>
      <c r="N141" s="2">
        <f t="shared" si="15"/>
        <v>1489.184375</v>
      </c>
      <c r="O141" s="2">
        <f t="shared" si="16"/>
        <v>553.85</v>
      </c>
      <c r="P141" s="2">
        <f t="shared" si="17"/>
        <v>1107.7</v>
      </c>
    </row>
    <row r="142" spans="1:16">
      <c r="A142" s="1">
        <v>141</v>
      </c>
      <c r="B142" s="1">
        <v>21</v>
      </c>
      <c r="C142" s="1" t="s">
        <v>18</v>
      </c>
      <c r="D142" s="1">
        <v>164.4</v>
      </c>
      <c r="E142" s="1">
        <v>68.9</v>
      </c>
      <c r="F142" s="1">
        <v>2050</v>
      </c>
      <c r="G142" s="1" t="s">
        <v>17</v>
      </c>
      <c r="H142" s="1">
        <v>1.375</v>
      </c>
      <c r="I142" s="1">
        <v>1.644</v>
      </c>
      <c r="J142" s="1">
        <v>25.4926859301093</v>
      </c>
      <c r="K142" t="str">
        <f t="shared" si="12"/>
        <v>没有热量缺口</v>
      </c>
      <c r="L142" s="2">
        <f t="shared" si="13"/>
        <v>1450.5</v>
      </c>
      <c r="M142" s="2">
        <f t="shared" si="14"/>
        <v>1994.4375</v>
      </c>
      <c r="N142" s="2">
        <f t="shared" si="15"/>
        <v>-55.5625</v>
      </c>
      <c r="O142" s="2">
        <f t="shared" si="16"/>
        <v>378.95</v>
      </c>
      <c r="P142" s="2">
        <f t="shared" si="17"/>
        <v>757.9</v>
      </c>
    </row>
    <row r="143" spans="1:16">
      <c r="A143" s="1">
        <v>142</v>
      </c>
      <c r="B143" s="1">
        <v>21</v>
      </c>
      <c r="C143" s="1" t="s">
        <v>18</v>
      </c>
      <c r="D143" s="1">
        <v>164.3</v>
      </c>
      <c r="E143" s="1">
        <v>67.3</v>
      </c>
      <c r="F143" s="1">
        <v>892</v>
      </c>
      <c r="G143" s="1" t="s">
        <v>19</v>
      </c>
      <c r="H143" s="1">
        <v>1.2</v>
      </c>
      <c r="I143" s="1">
        <v>1.643</v>
      </c>
      <c r="J143" s="1">
        <v>24.9310136994623</v>
      </c>
      <c r="K143" t="str">
        <f t="shared" si="12"/>
        <v>缺口过大</v>
      </c>
      <c r="L143" s="2">
        <f t="shared" si="13"/>
        <v>1433.875</v>
      </c>
      <c r="M143" s="2">
        <f t="shared" si="14"/>
        <v>1720.65</v>
      </c>
      <c r="N143" s="2">
        <f t="shared" si="15"/>
        <v>828.65</v>
      </c>
      <c r="O143" s="2">
        <f t="shared" si="16"/>
        <v>370.15</v>
      </c>
      <c r="P143" s="2">
        <f t="shared" si="17"/>
        <v>740.3</v>
      </c>
    </row>
    <row r="144" spans="1:16">
      <c r="A144" s="1">
        <v>143</v>
      </c>
      <c r="B144" s="1">
        <v>28</v>
      </c>
      <c r="C144" s="1" t="s">
        <v>18</v>
      </c>
      <c r="D144" s="1">
        <v>161.4</v>
      </c>
      <c r="E144" s="1">
        <v>78.7</v>
      </c>
      <c r="F144" s="1">
        <v>1837</v>
      </c>
      <c r="G144" s="1" t="s">
        <v>17</v>
      </c>
      <c r="H144" s="1">
        <v>1.375</v>
      </c>
      <c r="I144" s="1">
        <v>1.614</v>
      </c>
      <c r="J144" s="1">
        <v>30.2111788271459</v>
      </c>
      <c r="K144" t="str">
        <f t="shared" si="12"/>
        <v>缺口过小</v>
      </c>
      <c r="L144" s="2">
        <f t="shared" si="13"/>
        <v>1494.75</v>
      </c>
      <c r="M144" s="2">
        <f t="shared" si="14"/>
        <v>2055.28125</v>
      </c>
      <c r="N144" s="2">
        <f t="shared" si="15"/>
        <v>218.28125</v>
      </c>
      <c r="O144" s="2">
        <f t="shared" si="16"/>
        <v>432.85</v>
      </c>
      <c r="P144" s="2">
        <f t="shared" si="17"/>
        <v>865.7</v>
      </c>
    </row>
    <row r="145" spans="1:16">
      <c r="A145" s="1">
        <v>144</v>
      </c>
      <c r="B145" s="1">
        <v>27</v>
      </c>
      <c r="C145" s="1" t="s">
        <v>18</v>
      </c>
      <c r="D145" s="1">
        <v>157</v>
      </c>
      <c r="E145" s="1">
        <v>61.8</v>
      </c>
      <c r="F145" s="1">
        <v>2231</v>
      </c>
      <c r="G145" s="1" t="s">
        <v>21</v>
      </c>
      <c r="H145" s="1">
        <v>1.725</v>
      </c>
      <c r="I145" s="1">
        <v>1.57</v>
      </c>
      <c r="J145" s="1">
        <v>25.0720110349304</v>
      </c>
      <c r="K145" t="str">
        <f t="shared" si="12"/>
        <v>缺口过小</v>
      </c>
      <c r="L145" s="2">
        <f t="shared" si="13"/>
        <v>1303.25</v>
      </c>
      <c r="M145" s="2">
        <f t="shared" si="14"/>
        <v>2248.10625</v>
      </c>
      <c r="N145" s="2">
        <f t="shared" si="15"/>
        <v>17.1062500000003</v>
      </c>
      <c r="O145" s="2">
        <f t="shared" si="16"/>
        <v>339.9</v>
      </c>
      <c r="P145" s="2">
        <f t="shared" si="17"/>
        <v>679.8</v>
      </c>
    </row>
    <row r="146" spans="1:16">
      <c r="A146" s="1">
        <v>145</v>
      </c>
      <c r="B146" s="1">
        <v>24</v>
      </c>
      <c r="C146" s="1" t="s">
        <v>16</v>
      </c>
      <c r="D146" s="1">
        <v>172.4</v>
      </c>
      <c r="E146" s="1">
        <v>138.3</v>
      </c>
      <c r="F146" s="1">
        <v>2958</v>
      </c>
      <c r="G146" s="1" t="s">
        <v>17</v>
      </c>
      <c r="H146" s="1">
        <v>1.375</v>
      </c>
      <c r="I146" s="1">
        <v>1.724</v>
      </c>
      <c r="J146" s="1">
        <v>46.5315647525584</v>
      </c>
      <c r="K146" t="str">
        <f t="shared" si="12"/>
        <v>缺口过小</v>
      </c>
      <c r="L146" s="2">
        <f t="shared" si="13"/>
        <v>2345.5</v>
      </c>
      <c r="M146" s="2">
        <f t="shared" si="14"/>
        <v>3225.0625</v>
      </c>
      <c r="N146" s="2">
        <f t="shared" si="15"/>
        <v>267.0625</v>
      </c>
      <c r="O146" s="2">
        <f t="shared" si="16"/>
        <v>760.65</v>
      </c>
      <c r="P146" s="2">
        <f t="shared" si="17"/>
        <v>1521.3</v>
      </c>
    </row>
    <row r="147" spans="1:16">
      <c r="A147" s="1">
        <v>146</v>
      </c>
      <c r="B147" s="1">
        <v>21</v>
      </c>
      <c r="C147" s="1" t="s">
        <v>16</v>
      </c>
      <c r="D147" s="1">
        <v>178.9</v>
      </c>
      <c r="E147" s="1">
        <v>76.6</v>
      </c>
      <c r="F147" s="1">
        <v>2133</v>
      </c>
      <c r="G147" s="1" t="s">
        <v>21</v>
      </c>
      <c r="H147" s="1">
        <v>1.725</v>
      </c>
      <c r="I147" s="1">
        <v>1.789</v>
      </c>
      <c r="J147" s="1">
        <v>23.933603310211</v>
      </c>
      <c r="K147" t="str">
        <f t="shared" si="12"/>
        <v>缺口过大</v>
      </c>
      <c r="L147" s="2">
        <f t="shared" si="13"/>
        <v>1784.125</v>
      </c>
      <c r="M147" s="2">
        <f t="shared" si="14"/>
        <v>3077.615625</v>
      </c>
      <c r="N147" s="2">
        <f t="shared" si="15"/>
        <v>944.615625</v>
      </c>
      <c r="O147" s="2">
        <f t="shared" si="16"/>
        <v>421.3</v>
      </c>
      <c r="P147" s="2">
        <f t="shared" si="17"/>
        <v>842.6</v>
      </c>
    </row>
    <row r="148" spans="1:16">
      <c r="A148" s="1">
        <v>147</v>
      </c>
      <c r="B148" s="1">
        <v>35</v>
      </c>
      <c r="C148" s="1" t="s">
        <v>16</v>
      </c>
      <c r="D148" s="1">
        <v>179.5</v>
      </c>
      <c r="E148" s="1">
        <v>72.5</v>
      </c>
      <c r="F148" s="1">
        <v>2114</v>
      </c>
      <c r="G148" s="1" t="s">
        <v>20</v>
      </c>
      <c r="H148" s="1">
        <v>1.55</v>
      </c>
      <c r="I148" s="1">
        <v>1.795</v>
      </c>
      <c r="J148" s="1">
        <v>22.5013772394689</v>
      </c>
      <c r="K148" t="str">
        <f t="shared" si="12"/>
        <v>缺口合适</v>
      </c>
      <c r="L148" s="2">
        <f t="shared" si="13"/>
        <v>1676.875</v>
      </c>
      <c r="M148" s="2">
        <f t="shared" si="14"/>
        <v>2599.15625</v>
      </c>
      <c r="N148" s="2">
        <f t="shared" si="15"/>
        <v>485.15625</v>
      </c>
      <c r="O148" s="2">
        <f t="shared" si="16"/>
        <v>398.75</v>
      </c>
      <c r="P148" s="2">
        <f t="shared" si="17"/>
        <v>797.5</v>
      </c>
    </row>
    <row r="149" spans="1:16">
      <c r="A149" s="1">
        <v>148</v>
      </c>
      <c r="B149" s="1">
        <v>27</v>
      </c>
      <c r="C149" s="1" t="s">
        <v>18</v>
      </c>
      <c r="D149" s="1">
        <v>173.4</v>
      </c>
      <c r="E149" s="1">
        <v>123</v>
      </c>
      <c r="F149" s="1">
        <v>1376</v>
      </c>
      <c r="G149" s="1" t="s">
        <v>21</v>
      </c>
      <c r="H149" s="1">
        <v>1.725</v>
      </c>
      <c r="I149" s="1">
        <v>1.734</v>
      </c>
      <c r="J149" s="1">
        <v>40.907875464454</v>
      </c>
      <c r="K149" t="str">
        <f t="shared" si="12"/>
        <v>缺口过大</v>
      </c>
      <c r="L149" s="2">
        <f t="shared" si="13"/>
        <v>2017.75</v>
      </c>
      <c r="M149" s="2">
        <f t="shared" si="14"/>
        <v>3480.61875</v>
      </c>
      <c r="N149" s="2">
        <f t="shared" si="15"/>
        <v>2104.61875</v>
      </c>
      <c r="O149" s="2">
        <f t="shared" si="16"/>
        <v>676.5</v>
      </c>
      <c r="P149" s="2">
        <f t="shared" si="17"/>
        <v>1353</v>
      </c>
    </row>
    <row r="150" spans="1:16">
      <c r="A150" s="1">
        <v>149</v>
      </c>
      <c r="B150" s="1">
        <v>31</v>
      </c>
      <c r="C150" s="1" t="s">
        <v>16</v>
      </c>
      <c r="D150" s="1">
        <v>172.6</v>
      </c>
      <c r="E150" s="1">
        <v>73.3</v>
      </c>
      <c r="F150" s="1">
        <v>1696</v>
      </c>
      <c r="G150" s="1" t="s">
        <v>21</v>
      </c>
      <c r="H150" s="1">
        <v>1.725</v>
      </c>
      <c r="I150" s="1">
        <v>1.726</v>
      </c>
      <c r="J150" s="1">
        <v>24.6049446204125</v>
      </c>
      <c r="K150" t="str">
        <f t="shared" si="12"/>
        <v>缺口过大</v>
      </c>
      <c r="L150" s="2">
        <f t="shared" si="13"/>
        <v>1661.75</v>
      </c>
      <c r="M150" s="2">
        <f t="shared" si="14"/>
        <v>2866.51875</v>
      </c>
      <c r="N150" s="2">
        <f t="shared" si="15"/>
        <v>1170.51875</v>
      </c>
      <c r="O150" s="2">
        <f t="shared" si="16"/>
        <v>403.15</v>
      </c>
      <c r="P150" s="2">
        <f t="shared" si="17"/>
        <v>806.3</v>
      </c>
    </row>
    <row r="151" spans="1:16">
      <c r="A151" s="1">
        <v>150</v>
      </c>
      <c r="B151" s="1">
        <v>23</v>
      </c>
      <c r="C151" s="1" t="s">
        <v>16</v>
      </c>
      <c r="D151" s="1">
        <v>164.7</v>
      </c>
      <c r="E151" s="1">
        <v>59</v>
      </c>
      <c r="F151" s="1">
        <v>4987</v>
      </c>
      <c r="G151" s="1" t="s">
        <v>21</v>
      </c>
      <c r="H151" s="1">
        <v>1.725</v>
      </c>
      <c r="I151" s="1">
        <v>1.64699999999999</v>
      </c>
      <c r="J151" s="1">
        <v>21.7502780533427</v>
      </c>
      <c r="K151" t="str">
        <f t="shared" si="12"/>
        <v>没有热量缺口</v>
      </c>
      <c r="L151" s="2">
        <f t="shared" si="13"/>
        <v>1509.375</v>
      </c>
      <c r="M151" s="2">
        <f t="shared" si="14"/>
        <v>2603.671875</v>
      </c>
      <c r="N151" s="2">
        <f t="shared" si="15"/>
        <v>-2383.328125</v>
      </c>
      <c r="O151" s="2">
        <f t="shared" si="16"/>
        <v>324.5</v>
      </c>
      <c r="P151" s="2">
        <f t="shared" si="17"/>
        <v>649</v>
      </c>
    </row>
    <row r="152" spans="1:16">
      <c r="A152" s="1">
        <v>151</v>
      </c>
      <c r="B152" s="1">
        <v>32</v>
      </c>
      <c r="C152" s="1" t="s">
        <v>18</v>
      </c>
      <c r="D152" s="1">
        <v>163</v>
      </c>
      <c r="E152" s="1">
        <v>75.7</v>
      </c>
      <c r="F152" s="1">
        <v>1702</v>
      </c>
      <c r="G152" s="1" t="s">
        <v>19</v>
      </c>
      <c r="H152" s="1">
        <v>1.2</v>
      </c>
      <c r="I152" s="1">
        <v>1.63</v>
      </c>
      <c r="J152" s="1">
        <v>28.4918514057736</v>
      </c>
      <c r="K152" t="str">
        <f t="shared" si="12"/>
        <v>缺口过小</v>
      </c>
      <c r="L152" s="2">
        <f t="shared" si="13"/>
        <v>1454.75</v>
      </c>
      <c r="M152" s="2">
        <f t="shared" si="14"/>
        <v>1745.7</v>
      </c>
      <c r="N152" s="2">
        <f t="shared" si="15"/>
        <v>43.7</v>
      </c>
      <c r="O152" s="2">
        <f t="shared" si="16"/>
        <v>416.35</v>
      </c>
      <c r="P152" s="2">
        <f t="shared" si="17"/>
        <v>832.7</v>
      </c>
    </row>
    <row r="153" spans="1:16">
      <c r="A153" s="1">
        <v>152</v>
      </c>
      <c r="B153" s="1">
        <v>31</v>
      </c>
      <c r="C153" s="1" t="s">
        <v>16</v>
      </c>
      <c r="D153" s="1">
        <v>170.6</v>
      </c>
      <c r="E153" s="1">
        <v>89.4</v>
      </c>
      <c r="F153" s="1">
        <v>2678</v>
      </c>
      <c r="G153" s="1" t="s">
        <v>21</v>
      </c>
      <c r="H153" s="1">
        <v>1.725</v>
      </c>
      <c r="I153" s="1">
        <v>1.706</v>
      </c>
      <c r="J153" s="1">
        <v>30.7170472052984</v>
      </c>
      <c r="K153" t="str">
        <f t="shared" si="12"/>
        <v>缺口过小</v>
      </c>
      <c r="L153" s="2">
        <f t="shared" si="13"/>
        <v>1810.25</v>
      </c>
      <c r="M153" s="2">
        <f t="shared" si="14"/>
        <v>3122.68125</v>
      </c>
      <c r="N153" s="2">
        <f t="shared" si="15"/>
        <v>444.68125</v>
      </c>
      <c r="O153" s="2">
        <f t="shared" si="16"/>
        <v>491.7</v>
      </c>
      <c r="P153" s="2">
        <f t="shared" si="17"/>
        <v>983.4</v>
      </c>
    </row>
    <row r="154" spans="1:16">
      <c r="A154" s="1">
        <v>153</v>
      </c>
      <c r="B154" s="1">
        <v>25</v>
      </c>
      <c r="C154" s="1" t="s">
        <v>16</v>
      </c>
      <c r="D154" s="1">
        <v>173.3</v>
      </c>
      <c r="E154" s="1">
        <v>58.3</v>
      </c>
      <c r="F154" s="1">
        <v>1381</v>
      </c>
      <c r="G154" s="1" t="s">
        <v>21</v>
      </c>
      <c r="H154" s="1">
        <v>1.725</v>
      </c>
      <c r="I154" s="1">
        <v>1.733</v>
      </c>
      <c r="J154" s="1">
        <v>19.4120512544746</v>
      </c>
      <c r="K154" t="str">
        <f t="shared" si="12"/>
        <v>缺口过大</v>
      </c>
      <c r="L154" s="2">
        <f t="shared" si="13"/>
        <v>1546.125</v>
      </c>
      <c r="M154" s="2">
        <f t="shared" si="14"/>
        <v>2667.065625</v>
      </c>
      <c r="N154" s="2">
        <f t="shared" si="15"/>
        <v>1286.065625</v>
      </c>
      <c r="O154" s="2">
        <f t="shared" si="16"/>
        <v>320.65</v>
      </c>
      <c r="P154" s="2">
        <f t="shared" si="17"/>
        <v>641.3</v>
      </c>
    </row>
    <row r="155" spans="1:16">
      <c r="A155" s="1">
        <v>154</v>
      </c>
      <c r="B155" s="1">
        <v>32</v>
      </c>
      <c r="C155" s="1" t="s">
        <v>16</v>
      </c>
      <c r="D155" s="1">
        <v>175.9</v>
      </c>
      <c r="E155" s="1">
        <v>78.3</v>
      </c>
      <c r="F155" s="1">
        <v>3560</v>
      </c>
      <c r="G155" s="1" t="s">
        <v>20</v>
      </c>
      <c r="H155" s="1">
        <v>1.55</v>
      </c>
      <c r="I155" s="1">
        <v>1.759</v>
      </c>
      <c r="J155" s="1">
        <v>25.3063833816891</v>
      </c>
      <c r="K155" t="str">
        <f t="shared" si="12"/>
        <v>没有热量缺口</v>
      </c>
      <c r="L155" s="2">
        <f t="shared" si="13"/>
        <v>1727.375</v>
      </c>
      <c r="M155" s="2">
        <f t="shared" si="14"/>
        <v>2677.43125</v>
      </c>
      <c r="N155" s="2">
        <f t="shared" si="15"/>
        <v>-882.56875</v>
      </c>
      <c r="O155" s="2">
        <f t="shared" si="16"/>
        <v>430.65</v>
      </c>
      <c r="P155" s="2">
        <f t="shared" si="17"/>
        <v>861.3</v>
      </c>
    </row>
    <row r="156" spans="1:16">
      <c r="A156" s="1">
        <v>155</v>
      </c>
      <c r="B156" s="1">
        <v>33</v>
      </c>
      <c r="C156" s="1" t="s">
        <v>16</v>
      </c>
      <c r="D156" s="1">
        <v>178.8</v>
      </c>
      <c r="E156" s="1">
        <v>97.5</v>
      </c>
      <c r="F156" s="1">
        <v>941</v>
      </c>
      <c r="G156" s="1" t="s">
        <v>17</v>
      </c>
      <c r="H156" s="1">
        <v>1.375</v>
      </c>
      <c r="I156" s="1">
        <v>1.788</v>
      </c>
      <c r="J156" s="1">
        <v>30.4978754710748</v>
      </c>
      <c r="K156" t="str">
        <f t="shared" si="12"/>
        <v>缺口过大</v>
      </c>
      <c r="L156" s="2">
        <f t="shared" si="13"/>
        <v>1932.5</v>
      </c>
      <c r="M156" s="2">
        <f t="shared" si="14"/>
        <v>2657.1875</v>
      </c>
      <c r="N156" s="2">
        <f t="shared" si="15"/>
        <v>1716.1875</v>
      </c>
      <c r="O156" s="2">
        <f t="shared" si="16"/>
        <v>536.25</v>
      </c>
      <c r="P156" s="2">
        <f t="shared" si="17"/>
        <v>1072.5</v>
      </c>
    </row>
    <row r="157" spans="1:16">
      <c r="A157" s="1">
        <v>156</v>
      </c>
      <c r="B157" s="1">
        <v>31</v>
      </c>
      <c r="C157" s="1" t="s">
        <v>18</v>
      </c>
      <c r="D157" s="1">
        <v>160.8</v>
      </c>
      <c r="E157" s="1">
        <v>79.8</v>
      </c>
      <c r="F157" s="1">
        <v>1956</v>
      </c>
      <c r="G157" s="1" t="s">
        <v>17</v>
      </c>
      <c r="H157" s="1">
        <v>1.375</v>
      </c>
      <c r="I157" s="1">
        <v>1.608</v>
      </c>
      <c r="J157" s="1">
        <v>30.8624786515185</v>
      </c>
      <c r="K157" t="str">
        <f t="shared" si="12"/>
        <v>缺口过小</v>
      </c>
      <c r="L157" s="2">
        <f t="shared" si="13"/>
        <v>1487</v>
      </c>
      <c r="M157" s="2">
        <f t="shared" si="14"/>
        <v>2044.625</v>
      </c>
      <c r="N157" s="2">
        <f t="shared" si="15"/>
        <v>88.625</v>
      </c>
      <c r="O157" s="2">
        <f t="shared" si="16"/>
        <v>438.9</v>
      </c>
      <c r="P157" s="2">
        <f t="shared" si="17"/>
        <v>877.8</v>
      </c>
    </row>
    <row r="158" spans="1:16">
      <c r="A158" s="1">
        <v>157</v>
      </c>
      <c r="B158" s="1">
        <v>33</v>
      </c>
      <c r="C158" s="1" t="s">
        <v>18</v>
      </c>
      <c r="D158" s="1">
        <v>150.5</v>
      </c>
      <c r="E158" s="1">
        <v>93.3</v>
      </c>
      <c r="F158" s="1">
        <v>1773</v>
      </c>
      <c r="G158" s="1" t="s">
        <v>17</v>
      </c>
      <c r="H158" s="1">
        <v>1.375</v>
      </c>
      <c r="I158" s="1">
        <v>1.505</v>
      </c>
      <c r="J158" s="1">
        <v>41.1915983267292</v>
      </c>
      <c r="K158" t="str">
        <f t="shared" si="12"/>
        <v>缺口过小</v>
      </c>
      <c r="L158" s="2">
        <f t="shared" si="13"/>
        <v>1547.625</v>
      </c>
      <c r="M158" s="2">
        <f t="shared" si="14"/>
        <v>2127.984375</v>
      </c>
      <c r="N158" s="2">
        <f t="shared" si="15"/>
        <v>354.984375</v>
      </c>
      <c r="O158" s="2">
        <f t="shared" si="16"/>
        <v>513.15</v>
      </c>
      <c r="P158" s="2">
        <f t="shared" si="17"/>
        <v>1026.3</v>
      </c>
    </row>
    <row r="159" spans="1:16">
      <c r="A159" s="1">
        <v>158</v>
      </c>
      <c r="B159" s="1">
        <v>35</v>
      </c>
      <c r="C159" s="1" t="s">
        <v>18</v>
      </c>
      <c r="D159" s="1">
        <v>168.7</v>
      </c>
      <c r="E159" s="1">
        <v>110.8</v>
      </c>
      <c r="F159" s="1">
        <v>1803</v>
      </c>
      <c r="G159" s="1" t="s">
        <v>19</v>
      </c>
      <c r="H159" s="1">
        <v>1.2</v>
      </c>
      <c r="I159" s="1">
        <v>1.68699999999999</v>
      </c>
      <c r="J159" s="1">
        <v>38.9322582220677</v>
      </c>
      <c r="K159" t="str">
        <f t="shared" si="12"/>
        <v>缺口过小</v>
      </c>
      <c r="L159" s="2">
        <f t="shared" si="13"/>
        <v>1826.375</v>
      </c>
      <c r="M159" s="2">
        <f t="shared" si="14"/>
        <v>2191.65</v>
      </c>
      <c r="N159" s="2">
        <f t="shared" si="15"/>
        <v>388.65</v>
      </c>
      <c r="O159" s="2">
        <f t="shared" si="16"/>
        <v>609.4</v>
      </c>
      <c r="P159" s="2">
        <f t="shared" si="17"/>
        <v>1218.8</v>
      </c>
    </row>
    <row r="160" spans="1:16">
      <c r="A160" s="1">
        <v>159</v>
      </c>
      <c r="B160" s="1">
        <v>23</v>
      </c>
      <c r="C160" s="1" t="s">
        <v>18</v>
      </c>
      <c r="D160" s="1">
        <v>170.9</v>
      </c>
      <c r="E160" s="1">
        <v>80.6</v>
      </c>
      <c r="F160" s="1">
        <v>2255</v>
      </c>
      <c r="G160" s="1" t="s">
        <v>21</v>
      </c>
      <c r="H160" s="1">
        <v>1.725</v>
      </c>
      <c r="I160" s="1">
        <v>1.709</v>
      </c>
      <c r="J160" s="1">
        <v>27.5963037387513</v>
      </c>
      <c r="K160" t="str">
        <f t="shared" si="12"/>
        <v>缺口合适</v>
      </c>
      <c r="L160" s="2">
        <f t="shared" si="13"/>
        <v>1598.125</v>
      </c>
      <c r="M160" s="2">
        <f t="shared" si="14"/>
        <v>2756.765625</v>
      </c>
      <c r="N160" s="2">
        <f t="shared" si="15"/>
        <v>501.765625</v>
      </c>
      <c r="O160" s="2">
        <f t="shared" si="16"/>
        <v>443.3</v>
      </c>
      <c r="P160" s="2">
        <f t="shared" si="17"/>
        <v>886.6</v>
      </c>
    </row>
    <row r="161" spans="1:16">
      <c r="A161" s="1">
        <v>160</v>
      </c>
      <c r="B161" s="1">
        <v>30</v>
      </c>
      <c r="C161" s="1" t="s">
        <v>16</v>
      </c>
      <c r="D161" s="1">
        <v>162.8</v>
      </c>
      <c r="E161" s="1">
        <v>87.2</v>
      </c>
      <c r="F161" s="1">
        <v>1427</v>
      </c>
      <c r="G161" s="1" t="s">
        <v>21</v>
      </c>
      <c r="H161" s="1">
        <v>1.725</v>
      </c>
      <c r="I161" s="1">
        <v>1.628</v>
      </c>
      <c r="J161" s="1">
        <v>32.9008928517528</v>
      </c>
      <c r="K161" t="str">
        <f t="shared" si="12"/>
        <v>缺口过大</v>
      </c>
      <c r="L161" s="2">
        <f t="shared" si="13"/>
        <v>1744.5</v>
      </c>
      <c r="M161" s="2">
        <f t="shared" si="14"/>
        <v>3009.2625</v>
      </c>
      <c r="N161" s="2">
        <f t="shared" si="15"/>
        <v>1582.2625</v>
      </c>
      <c r="O161" s="2">
        <f t="shared" si="16"/>
        <v>479.6</v>
      </c>
      <c r="P161" s="2">
        <f t="shared" si="17"/>
        <v>959.2</v>
      </c>
    </row>
    <row r="162" spans="1:16">
      <c r="A162" s="1">
        <v>161</v>
      </c>
      <c r="B162" s="1">
        <v>29</v>
      </c>
      <c r="C162" s="1" t="s">
        <v>18</v>
      </c>
      <c r="D162" s="1">
        <v>155.8</v>
      </c>
      <c r="E162" s="1">
        <v>80.7</v>
      </c>
      <c r="F162" s="1">
        <v>781</v>
      </c>
      <c r="G162" s="1" t="s">
        <v>21</v>
      </c>
      <c r="H162" s="1">
        <v>1.725</v>
      </c>
      <c r="I162" s="1">
        <v>1.558</v>
      </c>
      <c r="J162" s="1">
        <v>33.2459408642461</v>
      </c>
      <c r="K162" t="str">
        <f t="shared" si="12"/>
        <v>缺口过大</v>
      </c>
      <c r="L162" s="2">
        <f t="shared" si="13"/>
        <v>1474.75</v>
      </c>
      <c r="M162" s="2">
        <f t="shared" si="14"/>
        <v>2543.94375</v>
      </c>
      <c r="N162" s="2">
        <f t="shared" si="15"/>
        <v>1762.94375</v>
      </c>
      <c r="O162" s="2">
        <f t="shared" si="16"/>
        <v>443.85</v>
      </c>
      <c r="P162" s="2">
        <f t="shared" si="17"/>
        <v>887.7</v>
      </c>
    </row>
    <row r="163" spans="1:16">
      <c r="A163" s="1">
        <v>162</v>
      </c>
      <c r="B163" s="1">
        <v>35</v>
      </c>
      <c r="C163" s="1" t="s">
        <v>18</v>
      </c>
      <c r="D163" s="1">
        <v>164</v>
      </c>
      <c r="E163" s="1">
        <v>62.6</v>
      </c>
      <c r="F163" s="1">
        <v>1643</v>
      </c>
      <c r="G163" s="1" t="s">
        <v>21</v>
      </c>
      <c r="H163" s="1">
        <v>1.725</v>
      </c>
      <c r="I163" s="1">
        <v>1.64</v>
      </c>
      <c r="J163" s="1">
        <v>23.2748364069006</v>
      </c>
      <c r="K163" t="str">
        <f t="shared" si="12"/>
        <v>缺口合适</v>
      </c>
      <c r="L163" s="2">
        <f t="shared" si="13"/>
        <v>1315</v>
      </c>
      <c r="M163" s="2">
        <f t="shared" si="14"/>
        <v>2268.375</v>
      </c>
      <c r="N163" s="2">
        <f t="shared" si="15"/>
        <v>625.375</v>
      </c>
      <c r="O163" s="2">
        <f t="shared" si="16"/>
        <v>344.3</v>
      </c>
      <c r="P163" s="2">
        <f t="shared" si="17"/>
        <v>688.6</v>
      </c>
    </row>
    <row r="164" spans="1:16">
      <c r="A164" s="1">
        <v>163</v>
      </c>
      <c r="B164" s="1">
        <v>29</v>
      </c>
      <c r="C164" s="1" t="s">
        <v>18</v>
      </c>
      <c r="D164" s="1">
        <v>149.8</v>
      </c>
      <c r="E164" s="1">
        <v>65.6</v>
      </c>
      <c r="F164" s="1">
        <v>1870</v>
      </c>
      <c r="G164" s="1" t="s">
        <v>17</v>
      </c>
      <c r="H164" s="1">
        <v>1.375</v>
      </c>
      <c r="I164" s="1">
        <v>1.498</v>
      </c>
      <c r="J164" s="1">
        <v>29.2334594768993</v>
      </c>
      <c r="K164" t="str">
        <f t="shared" si="12"/>
        <v>没有热量缺口</v>
      </c>
      <c r="L164" s="2">
        <f t="shared" si="13"/>
        <v>1286.25</v>
      </c>
      <c r="M164" s="2">
        <f t="shared" si="14"/>
        <v>1768.59375</v>
      </c>
      <c r="N164" s="2">
        <f t="shared" si="15"/>
        <v>-101.40625</v>
      </c>
      <c r="O164" s="2">
        <f t="shared" si="16"/>
        <v>360.8</v>
      </c>
      <c r="P164" s="2">
        <f t="shared" si="17"/>
        <v>721.6</v>
      </c>
    </row>
    <row r="165" spans="1:16">
      <c r="A165" s="1">
        <v>164</v>
      </c>
      <c r="B165" s="1">
        <v>30</v>
      </c>
      <c r="C165" s="1" t="s">
        <v>18</v>
      </c>
      <c r="D165" s="1">
        <v>157.5</v>
      </c>
      <c r="E165" s="1">
        <v>86.4</v>
      </c>
      <c r="F165" s="1">
        <v>1253</v>
      </c>
      <c r="G165" s="1" t="s">
        <v>20</v>
      </c>
      <c r="H165" s="1">
        <v>1.55</v>
      </c>
      <c r="I165" s="1">
        <v>1.575</v>
      </c>
      <c r="J165" s="1">
        <v>34.8299319727891</v>
      </c>
      <c r="K165" t="str">
        <f t="shared" si="12"/>
        <v>缺口过大</v>
      </c>
      <c r="L165" s="2">
        <f t="shared" si="13"/>
        <v>1537.375</v>
      </c>
      <c r="M165" s="2">
        <f t="shared" si="14"/>
        <v>2382.93125</v>
      </c>
      <c r="N165" s="2">
        <f t="shared" si="15"/>
        <v>1129.93125</v>
      </c>
      <c r="O165" s="2">
        <f t="shared" si="16"/>
        <v>475.2</v>
      </c>
      <c r="P165" s="2">
        <f t="shared" si="17"/>
        <v>950.4</v>
      </c>
    </row>
    <row r="166" spans="1:16">
      <c r="A166" s="1">
        <v>165</v>
      </c>
      <c r="B166" s="1">
        <v>34</v>
      </c>
      <c r="C166" s="1" t="s">
        <v>18</v>
      </c>
      <c r="D166" s="1">
        <v>160.5</v>
      </c>
      <c r="E166" s="1">
        <v>56</v>
      </c>
      <c r="F166" s="1">
        <v>2406</v>
      </c>
      <c r="G166" s="1" t="s">
        <v>17</v>
      </c>
      <c r="H166" s="1">
        <v>1.375</v>
      </c>
      <c r="I166" s="1">
        <v>1.605</v>
      </c>
      <c r="J166" s="1">
        <v>21.7389194592443</v>
      </c>
      <c r="K166" t="str">
        <f t="shared" si="12"/>
        <v>没有热量缺口</v>
      </c>
      <c r="L166" s="2">
        <f t="shared" si="13"/>
        <v>1232.125</v>
      </c>
      <c r="M166" s="2">
        <f t="shared" si="14"/>
        <v>1694.171875</v>
      </c>
      <c r="N166" s="2">
        <f t="shared" si="15"/>
        <v>-711.828125</v>
      </c>
      <c r="O166" s="2">
        <f t="shared" si="16"/>
        <v>308</v>
      </c>
      <c r="P166" s="2">
        <f t="shared" si="17"/>
        <v>616</v>
      </c>
    </row>
    <row r="167" spans="1:16">
      <c r="A167" s="1">
        <v>166</v>
      </c>
      <c r="B167" s="1">
        <v>30</v>
      </c>
      <c r="C167" s="1" t="s">
        <v>16</v>
      </c>
      <c r="D167" s="1">
        <v>178.1</v>
      </c>
      <c r="E167" s="1">
        <v>123.8</v>
      </c>
      <c r="F167" s="1">
        <v>2588</v>
      </c>
      <c r="G167" s="1" t="s">
        <v>21</v>
      </c>
      <c r="H167" s="1">
        <v>1.725</v>
      </c>
      <c r="I167" s="1">
        <v>1.781</v>
      </c>
      <c r="J167" s="1">
        <v>39.0294836538028</v>
      </c>
      <c r="K167" t="str">
        <f t="shared" si="12"/>
        <v>缺口合适</v>
      </c>
      <c r="L167" s="2">
        <f t="shared" si="13"/>
        <v>2206.125</v>
      </c>
      <c r="M167" s="2">
        <f t="shared" si="14"/>
        <v>3805.565625</v>
      </c>
      <c r="N167" s="2">
        <f t="shared" si="15"/>
        <v>1217.565625</v>
      </c>
      <c r="O167" s="2">
        <f t="shared" si="16"/>
        <v>680.9</v>
      </c>
      <c r="P167" s="2">
        <f t="shared" si="17"/>
        <v>1361.8</v>
      </c>
    </row>
    <row r="168" spans="1:16">
      <c r="A168" s="1">
        <v>167</v>
      </c>
      <c r="B168" s="1">
        <v>29</v>
      </c>
      <c r="C168" s="1" t="s">
        <v>18</v>
      </c>
      <c r="D168" s="1">
        <v>166.7</v>
      </c>
      <c r="E168" s="1">
        <v>80</v>
      </c>
      <c r="F168" s="1">
        <v>1670</v>
      </c>
      <c r="G168" s="1" t="s">
        <v>17</v>
      </c>
      <c r="H168" s="1">
        <v>1.375</v>
      </c>
      <c r="I168" s="1">
        <v>1.66699999999999</v>
      </c>
      <c r="J168" s="1">
        <v>28.7884834550786</v>
      </c>
      <c r="K168" t="str">
        <f t="shared" si="12"/>
        <v>缺口合适</v>
      </c>
      <c r="L168" s="2">
        <f t="shared" si="13"/>
        <v>1535.875</v>
      </c>
      <c r="M168" s="2">
        <f t="shared" si="14"/>
        <v>2111.828125</v>
      </c>
      <c r="N168" s="2">
        <f t="shared" si="15"/>
        <v>441.828125</v>
      </c>
      <c r="O168" s="2">
        <f t="shared" si="16"/>
        <v>440</v>
      </c>
      <c r="P168" s="2">
        <f t="shared" si="17"/>
        <v>880</v>
      </c>
    </row>
    <row r="169" spans="1:16">
      <c r="A169" s="1">
        <v>168</v>
      </c>
      <c r="B169" s="1">
        <v>23</v>
      </c>
      <c r="C169" s="1" t="s">
        <v>18</v>
      </c>
      <c r="D169" s="1">
        <v>161.8</v>
      </c>
      <c r="E169" s="1">
        <v>60.2</v>
      </c>
      <c r="F169" s="1">
        <v>1952</v>
      </c>
      <c r="G169" s="1" t="s">
        <v>19</v>
      </c>
      <c r="H169" s="1">
        <v>1.2</v>
      </c>
      <c r="I169" s="1">
        <v>1.618</v>
      </c>
      <c r="J169" s="1">
        <v>22.9953199558123</v>
      </c>
      <c r="K169" t="str">
        <f t="shared" si="12"/>
        <v>没有热量缺口</v>
      </c>
      <c r="L169" s="2">
        <f t="shared" si="13"/>
        <v>1337.25</v>
      </c>
      <c r="M169" s="2">
        <f t="shared" si="14"/>
        <v>1604.7</v>
      </c>
      <c r="N169" s="2">
        <f t="shared" si="15"/>
        <v>-347.3</v>
      </c>
      <c r="O169" s="2">
        <f t="shared" si="16"/>
        <v>331.1</v>
      </c>
      <c r="P169" s="2">
        <f t="shared" si="17"/>
        <v>662.2</v>
      </c>
    </row>
    <row r="170" spans="1:16">
      <c r="A170" s="1">
        <v>169</v>
      </c>
      <c r="B170" s="1">
        <v>23</v>
      </c>
      <c r="C170" s="1" t="s">
        <v>18</v>
      </c>
      <c r="D170" s="1">
        <v>162.4</v>
      </c>
      <c r="E170" s="1">
        <v>59.9</v>
      </c>
      <c r="F170" s="1">
        <v>2493</v>
      </c>
      <c r="G170" s="1" t="s">
        <v>20</v>
      </c>
      <c r="H170" s="1">
        <v>1.55</v>
      </c>
      <c r="I170" s="1">
        <v>1.624</v>
      </c>
      <c r="J170" s="1">
        <v>22.7119682593608</v>
      </c>
      <c r="K170" t="str">
        <f t="shared" si="12"/>
        <v>没有热量缺口</v>
      </c>
      <c r="L170" s="2">
        <f t="shared" si="13"/>
        <v>1338</v>
      </c>
      <c r="M170" s="2">
        <f t="shared" si="14"/>
        <v>2073.9</v>
      </c>
      <c r="N170" s="2">
        <f t="shared" si="15"/>
        <v>-419.1</v>
      </c>
      <c r="O170" s="2">
        <f t="shared" si="16"/>
        <v>329.45</v>
      </c>
      <c r="P170" s="2">
        <f t="shared" si="17"/>
        <v>658.9</v>
      </c>
    </row>
    <row r="171" spans="1:16">
      <c r="A171" s="1">
        <v>170</v>
      </c>
      <c r="B171" s="1">
        <v>22</v>
      </c>
      <c r="C171" s="1" t="s">
        <v>16</v>
      </c>
      <c r="D171" s="1">
        <v>176</v>
      </c>
      <c r="E171" s="1">
        <v>99.8</v>
      </c>
      <c r="F171" s="1">
        <v>2492</v>
      </c>
      <c r="G171" s="1" t="s">
        <v>20</v>
      </c>
      <c r="H171" s="1">
        <v>1.55</v>
      </c>
      <c r="I171" s="1">
        <v>1.76</v>
      </c>
      <c r="J171" s="1">
        <v>32.2184917355371</v>
      </c>
      <c r="K171" t="str">
        <f t="shared" si="12"/>
        <v>缺口合适</v>
      </c>
      <c r="L171" s="2">
        <f t="shared" si="13"/>
        <v>1993</v>
      </c>
      <c r="M171" s="2">
        <f t="shared" si="14"/>
        <v>3089.15</v>
      </c>
      <c r="N171" s="2">
        <f t="shared" si="15"/>
        <v>597.15</v>
      </c>
      <c r="O171" s="2">
        <f t="shared" si="16"/>
        <v>548.9</v>
      </c>
      <c r="P171" s="2">
        <f t="shared" si="17"/>
        <v>1097.8</v>
      </c>
    </row>
    <row r="172" spans="1:16">
      <c r="A172" s="1">
        <v>171</v>
      </c>
      <c r="B172" s="1">
        <v>35</v>
      </c>
      <c r="C172" s="1" t="s">
        <v>16</v>
      </c>
      <c r="D172" s="1">
        <v>170.1</v>
      </c>
      <c r="E172" s="1">
        <v>78.4</v>
      </c>
      <c r="F172" s="1">
        <v>1681</v>
      </c>
      <c r="G172" s="1" t="s">
        <v>21</v>
      </c>
      <c r="H172" s="1">
        <v>1.725</v>
      </c>
      <c r="I172" s="1">
        <v>1.70099999999999</v>
      </c>
      <c r="J172" s="1">
        <v>27.0961404934884</v>
      </c>
      <c r="K172" t="str">
        <f t="shared" si="12"/>
        <v>缺口过大</v>
      </c>
      <c r="L172" s="2">
        <f t="shared" si="13"/>
        <v>1677.125</v>
      </c>
      <c r="M172" s="2">
        <f t="shared" si="14"/>
        <v>2893.040625</v>
      </c>
      <c r="N172" s="2">
        <f t="shared" si="15"/>
        <v>1212.040625</v>
      </c>
      <c r="O172" s="2">
        <f t="shared" si="16"/>
        <v>431.2</v>
      </c>
      <c r="P172" s="2">
        <f t="shared" si="17"/>
        <v>862.4</v>
      </c>
    </row>
    <row r="173" spans="1:16">
      <c r="A173" s="1">
        <v>172</v>
      </c>
      <c r="B173" s="1">
        <v>25</v>
      </c>
      <c r="C173" s="1" t="s">
        <v>16</v>
      </c>
      <c r="D173" s="1">
        <v>186.6</v>
      </c>
      <c r="E173" s="1">
        <v>95.1</v>
      </c>
      <c r="F173" s="1">
        <v>2866</v>
      </c>
      <c r="G173" s="1" t="s">
        <v>17</v>
      </c>
      <c r="H173" s="1">
        <v>1.375</v>
      </c>
      <c r="I173" s="1">
        <v>1.86599999999999</v>
      </c>
      <c r="J173" s="1">
        <v>27.3122348473099</v>
      </c>
      <c r="K173" t="str">
        <f t="shared" si="12"/>
        <v>没有热量缺口</v>
      </c>
      <c r="L173" s="2">
        <f t="shared" si="13"/>
        <v>1997.25</v>
      </c>
      <c r="M173" s="2">
        <f t="shared" si="14"/>
        <v>2746.21875</v>
      </c>
      <c r="N173" s="2">
        <f t="shared" si="15"/>
        <v>-119.78125</v>
      </c>
      <c r="O173" s="2">
        <f t="shared" si="16"/>
        <v>523.05</v>
      </c>
      <c r="P173" s="2">
        <f t="shared" si="17"/>
        <v>1046.1</v>
      </c>
    </row>
    <row r="174" spans="1:16">
      <c r="A174" s="1">
        <v>173</v>
      </c>
      <c r="B174" s="1">
        <v>35</v>
      </c>
      <c r="C174" s="1" t="s">
        <v>16</v>
      </c>
      <c r="D174" s="1">
        <v>183.9</v>
      </c>
      <c r="E174" s="1">
        <v>97.8</v>
      </c>
      <c r="F174" s="1">
        <v>3721</v>
      </c>
      <c r="G174" s="1" t="s">
        <v>17</v>
      </c>
      <c r="H174" s="1">
        <v>1.375</v>
      </c>
      <c r="I174" s="1">
        <v>1.839</v>
      </c>
      <c r="J174" s="1">
        <v>28.9184756237653</v>
      </c>
      <c r="K174" t="str">
        <f t="shared" si="12"/>
        <v>没有热量缺口</v>
      </c>
      <c r="L174" s="2">
        <f t="shared" si="13"/>
        <v>1957.375</v>
      </c>
      <c r="M174" s="2">
        <f t="shared" si="14"/>
        <v>2691.390625</v>
      </c>
      <c r="N174" s="2">
        <f t="shared" si="15"/>
        <v>-1029.609375</v>
      </c>
      <c r="O174" s="2">
        <f t="shared" si="16"/>
        <v>537.9</v>
      </c>
      <c r="P174" s="2">
        <f t="shared" si="17"/>
        <v>1075.8</v>
      </c>
    </row>
    <row r="175" spans="1:16">
      <c r="A175" s="1">
        <v>174</v>
      </c>
      <c r="B175" s="1">
        <v>21</v>
      </c>
      <c r="C175" s="1" t="s">
        <v>18</v>
      </c>
      <c r="D175" s="1">
        <v>156.4</v>
      </c>
      <c r="E175" s="1">
        <v>128.9</v>
      </c>
      <c r="F175" s="1">
        <v>1970</v>
      </c>
      <c r="G175" s="1" t="s">
        <v>20</v>
      </c>
      <c r="H175" s="1">
        <v>1.55</v>
      </c>
      <c r="I175" s="1">
        <v>1.564</v>
      </c>
      <c r="J175" s="1">
        <v>52.6962147029388</v>
      </c>
      <c r="K175" t="str">
        <f t="shared" si="12"/>
        <v>缺口合适</v>
      </c>
      <c r="L175" s="2">
        <f t="shared" si="13"/>
        <v>2000.5</v>
      </c>
      <c r="M175" s="2">
        <f t="shared" si="14"/>
        <v>3100.775</v>
      </c>
      <c r="N175" s="2">
        <f t="shared" si="15"/>
        <v>1130.775</v>
      </c>
      <c r="O175" s="2">
        <f t="shared" si="16"/>
        <v>708.95</v>
      </c>
      <c r="P175" s="2">
        <f t="shared" si="17"/>
        <v>1417.9</v>
      </c>
    </row>
    <row r="176" spans="1:16">
      <c r="A176" s="1">
        <v>175</v>
      </c>
      <c r="B176" s="1">
        <v>24</v>
      </c>
      <c r="C176" s="1" t="s">
        <v>18</v>
      </c>
      <c r="D176" s="1">
        <v>161.4</v>
      </c>
      <c r="E176" s="1">
        <v>60.8</v>
      </c>
      <c r="F176" s="1">
        <v>615</v>
      </c>
      <c r="G176" s="1" t="s">
        <v>17</v>
      </c>
      <c r="H176" s="1">
        <v>1.375</v>
      </c>
      <c r="I176" s="1">
        <v>1.614</v>
      </c>
      <c r="J176" s="1">
        <v>23.3397671244024</v>
      </c>
      <c r="K176" t="str">
        <f t="shared" si="12"/>
        <v>缺口过大</v>
      </c>
      <c r="L176" s="2">
        <f t="shared" si="13"/>
        <v>1335.75</v>
      </c>
      <c r="M176" s="2">
        <f t="shared" si="14"/>
        <v>1836.65625</v>
      </c>
      <c r="N176" s="2">
        <f t="shared" si="15"/>
        <v>1221.65625</v>
      </c>
      <c r="O176" s="2">
        <f t="shared" si="16"/>
        <v>334.4</v>
      </c>
      <c r="P176" s="2">
        <f t="shared" si="17"/>
        <v>668.8</v>
      </c>
    </row>
    <row r="177" spans="1:16">
      <c r="A177" s="1">
        <v>176</v>
      </c>
      <c r="B177" s="1">
        <v>33</v>
      </c>
      <c r="C177" s="1" t="s">
        <v>16</v>
      </c>
      <c r="D177" s="1">
        <v>169.6</v>
      </c>
      <c r="E177" s="1">
        <v>103.4</v>
      </c>
      <c r="F177" s="1">
        <v>1652</v>
      </c>
      <c r="G177" s="1" t="s">
        <v>17</v>
      </c>
      <c r="H177" s="1">
        <v>1.375</v>
      </c>
      <c r="I177" s="1">
        <v>1.696</v>
      </c>
      <c r="J177" s="1">
        <v>35.9475124599501</v>
      </c>
      <c r="K177" t="str">
        <f t="shared" si="12"/>
        <v>缺口合适</v>
      </c>
      <c r="L177" s="2">
        <f t="shared" si="13"/>
        <v>1934</v>
      </c>
      <c r="M177" s="2">
        <f t="shared" si="14"/>
        <v>2659.25</v>
      </c>
      <c r="N177" s="2">
        <f t="shared" si="15"/>
        <v>1007.25</v>
      </c>
      <c r="O177" s="2">
        <f t="shared" si="16"/>
        <v>568.7</v>
      </c>
      <c r="P177" s="2">
        <f t="shared" si="17"/>
        <v>1137.4</v>
      </c>
    </row>
    <row r="178" spans="1:16">
      <c r="A178" s="1">
        <v>177</v>
      </c>
      <c r="B178" s="1">
        <v>35</v>
      </c>
      <c r="C178" s="1" t="s">
        <v>18</v>
      </c>
      <c r="D178" s="1">
        <v>163.8</v>
      </c>
      <c r="E178" s="1">
        <v>74.1</v>
      </c>
      <c r="F178" s="1">
        <v>4506</v>
      </c>
      <c r="G178" s="1" t="s">
        <v>17</v>
      </c>
      <c r="H178" s="1">
        <v>1.375</v>
      </c>
      <c r="I178" s="1">
        <v>1.638</v>
      </c>
      <c r="J178" s="1">
        <v>27.6178847607418</v>
      </c>
      <c r="K178" t="str">
        <f t="shared" si="12"/>
        <v>没有热量缺口</v>
      </c>
      <c r="L178" s="2">
        <f t="shared" si="13"/>
        <v>1428.75</v>
      </c>
      <c r="M178" s="2">
        <f t="shared" si="14"/>
        <v>1964.53125</v>
      </c>
      <c r="N178" s="2">
        <f t="shared" si="15"/>
        <v>-2541.46875</v>
      </c>
      <c r="O178" s="2">
        <f t="shared" si="16"/>
        <v>407.55</v>
      </c>
      <c r="P178" s="2">
        <f t="shared" si="17"/>
        <v>815.1</v>
      </c>
    </row>
    <row r="179" spans="1:16">
      <c r="A179" s="1">
        <v>178</v>
      </c>
      <c r="B179" s="1">
        <v>33</v>
      </c>
      <c r="C179" s="1" t="s">
        <v>18</v>
      </c>
      <c r="D179" s="1">
        <v>157.4</v>
      </c>
      <c r="E179" s="1">
        <v>80.6</v>
      </c>
      <c r="F179" s="1">
        <v>1408</v>
      </c>
      <c r="G179" s="1" t="s">
        <v>21</v>
      </c>
      <c r="H179" s="1">
        <v>1.725</v>
      </c>
      <c r="I179" s="1">
        <v>1.574</v>
      </c>
      <c r="J179" s="1">
        <v>32.5331103106548</v>
      </c>
      <c r="K179" t="str">
        <f t="shared" si="12"/>
        <v>缺口过大</v>
      </c>
      <c r="L179" s="2">
        <f t="shared" si="13"/>
        <v>1463.75</v>
      </c>
      <c r="M179" s="2">
        <f t="shared" si="14"/>
        <v>2524.96875</v>
      </c>
      <c r="N179" s="2">
        <f t="shared" si="15"/>
        <v>1116.96875</v>
      </c>
      <c r="O179" s="2">
        <f t="shared" si="16"/>
        <v>443.3</v>
      </c>
      <c r="P179" s="2">
        <f t="shared" si="17"/>
        <v>886.6</v>
      </c>
    </row>
    <row r="180" spans="1:16">
      <c r="A180" s="1">
        <v>179</v>
      </c>
      <c r="B180" s="1">
        <v>31</v>
      </c>
      <c r="C180" s="1" t="s">
        <v>16</v>
      </c>
      <c r="D180" s="1">
        <v>173.9</v>
      </c>
      <c r="E180" s="1">
        <v>77.7</v>
      </c>
      <c r="F180" s="1">
        <v>3696</v>
      </c>
      <c r="G180" s="1" t="s">
        <v>20</v>
      </c>
      <c r="H180" s="1">
        <v>1.55</v>
      </c>
      <c r="I180" s="1">
        <v>1.739</v>
      </c>
      <c r="J180" s="1">
        <v>25.6934163679297</v>
      </c>
      <c r="K180" t="str">
        <f t="shared" si="12"/>
        <v>没有热量缺口</v>
      </c>
      <c r="L180" s="2">
        <f t="shared" si="13"/>
        <v>1713.875</v>
      </c>
      <c r="M180" s="2">
        <f t="shared" si="14"/>
        <v>2656.50625</v>
      </c>
      <c r="N180" s="2">
        <f t="shared" si="15"/>
        <v>-1039.49375</v>
      </c>
      <c r="O180" s="2">
        <f t="shared" si="16"/>
        <v>427.35</v>
      </c>
      <c r="P180" s="2">
        <f t="shared" si="17"/>
        <v>854.7</v>
      </c>
    </row>
    <row r="181" spans="1:16">
      <c r="A181" s="1">
        <v>180</v>
      </c>
      <c r="B181" s="1">
        <v>27</v>
      </c>
      <c r="C181" s="1" t="s">
        <v>18</v>
      </c>
      <c r="D181" s="1">
        <v>163.1</v>
      </c>
      <c r="E181" s="1">
        <v>79</v>
      </c>
      <c r="F181" s="1">
        <v>1089</v>
      </c>
      <c r="G181" s="1" t="s">
        <v>21</v>
      </c>
      <c r="H181" s="1">
        <v>1.725</v>
      </c>
      <c r="I181" s="1">
        <v>1.631</v>
      </c>
      <c r="J181" s="1">
        <v>29.6974506430249</v>
      </c>
      <c r="K181" t="str">
        <f t="shared" si="12"/>
        <v>缺口过大</v>
      </c>
      <c r="L181" s="2">
        <f t="shared" si="13"/>
        <v>1513.375</v>
      </c>
      <c r="M181" s="2">
        <f t="shared" si="14"/>
        <v>2610.571875</v>
      </c>
      <c r="N181" s="2">
        <f t="shared" si="15"/>
        <v>1521.571875</v>
      </c>
      <c r="O181" s="2">
        <f t="shared" si="16"/>
        <v>434.5</v>
      </c>
      <c r="P181" s="2">
        <f t="shared" si="17"/>
        <v>869</v>
      </c>
    </row>
    <row r="182" spans="1:16">
      <c r="A182" s="1">
        <v>181</v>
      </c>
      <c r="B182" s="1">
        <v>35</v>
      </c>
      <c r="C182" s="1" t="s">
        <v>16</v>
      </c>
      <c r="D182" s="1">
        <v>172.8</v>
      </c>
      <c r="E182" s="1">
        <v>81.8</v>
      </c>
      <c r="F182" s="1">
        <v>1975</v>
      </c>
      <c r="G182" s="1" t="s">
        <v>21</v>
      </c>
      <c r="H182" s="1">
        <v>1.725</v>
      </c>
      <c r="I182" s="1">
        <v>1.728</v>
      </c>
      <c r="J182" s="1">
        <v>27.3946544924554</v>
      </c>
      <c r="K182" t="str">
        <f t="shared" si="12"/>
        <v>缺口过大</v>
      </c>
      <c r="L182" s="2">
        <f t="shared" si="13"/>
        <v>1728</v>
      </c>
      <c r="M182" s="2">
        <f t="shared" si="14"/>
        <v>2980.8</v>
      </c>
      <c r="N182" s="2">
        <f t="shared" si="15"/>
        <v>1005.8</v>
      </c>
      <c r="O182" s="2">
        <f t="shared" si="16"/>
        <v>449.9</v>
      </c>
      <c r="P182" s="2">
        <f t="shared" si="17"/>
        <v>899.8</v>
      </c>
    </row>
    <row r="183" spans="1:16">
      <c r="A183" s="1">
        <v>182</v>
      </c>
      <c r="B183" s="1">
        <v>30</v>
      </c>
      <c r="C183" s="1" t="s">
        <v>16</v>
      </c>
      <c r="D183" s="1">
        <v>181</v>
      </c>
      <c r="E183" s="1">
        <v>111.1</v>
      </c>
      <c r="F183" s="1">
        <v>3186</v>
      </c>
      <c r="G183" s="1" t="s">
        <v>21</v>
      </c>
      <c r="H183" s="1">
        <v>1.725</v>
      </c>
      <c r="I183" s="1">
        <v>1.81</v>
      </c>
      <c r="J183" s="1">
        <v>33.9122737401178</v>
      </c>
      <c r="K183" t="str">
        <f t="shared" si="12"/>
        <v>缺口过小</v>
      </c>
      <c r="L183" s="2">
        <f t="shared" si="13"/>
        <v>2097.25</v>
      </c>
      <c r="M183" s="2">
        <f t="shared" si="14"/>
        <v>3617.75625</v>
      </c>
      <c r="N183" s="2">
        <f t="shared" si="15"/>
        <v>431.75625</v>
      </c>
      <c r="O183" s="2">
        <f t="shared" si="16"/>
        <v>611.05</v>
      </c>
      <c r="P183" s="2">
        <f t="shared" si="17"/>
        <v>1222.1</v>
      </c>
    </row>
    <row r="184" spans="1:16">
      <c r="A184" s="1">
        <v>183</v>
      </c>
      <c r="B184" s="1">
        <v>30</v>
      </c>
      <c r="C184" s="1" t="s">
        <v>18</v>
      </c>
      <c r="D184" s="1">
        <v>160.2</v>
      </c>
      <c r="E184" s="1">
        <v>80.7</v>
      </c>
      <c r="F184" s="1">
        <v>1176</v>
      </c>
      <c r="G184" s="1" t="s">
        <v>17</v>
      </c>
      <c r="H184" s="1">
        <v>1.375</v>
      </c>
      <c r="I184" s="1">
        <v>1.60199999999999</v>
      </c>
      <c r="J184" s="1">
        <v>31.4447764264706</v>
      </c>
      <c r="K184" t="str">
        <f t="shared" si="12"/>
        <v>缺口合适</v>
      </c>
      <c r="L184" s="2">
        <f t="shared" si="13"/>
        <v>1497.25</v>
      </c>
      <c r="M184" s="2">
        <f t="shared" si="14"/>
        <v>2058.71875</v>
      </c>
      <c r="N184" s="2">
        <f t="shared" si="15"/>
        <v>882.71875</v>
      </c>
      <c r="O184" s="2">
        <f t="shared" si="16"/>
        <v>443.85</v>
      </c>
      <c r="P184" s="2">
        <f t="shared" si="17"/>
        <v>887.7</v>
      </c>
    </row>
    <row r="185" spans="1:16">
      <c r="A185" s="1">
        <v>184</v>
      </c>
      <c r="B185" s="1">
        <v>34</v>
      </c>
      <c r="C185" s="1" t="s">
        <v>18</v>
      </c>
      <c r="D185" s="1">
        <v>155.9</v>
      </c>
      <c r="E185" s="1">
        <v>114.8</v>
      </c>
      <c r="F185" s="1">
        <v>1723</v>
      </c>
      <c r="G185" s="1" t="s">
        <v>17</v>
      </c>
      <c r="H185" s="1">
        <v>1.375</v>
      </c>
      <c r="I185" s="1">
        <v>1.559</v>
      </c>
      <c r="J185" s="1">
        <v>47.2334488523053</v>
      </c>
      <c r="K185" t="str">
        <f t="shared" si="12"/>
        <v>缺口合适</v>
      </c>
      <c r="L185" s="2">
        <f t="shared" si="13"/>
        <v>1791.375</v>
      </c>
      <c r="M185" s="2">
        <f t="shared" si="14"/>
        <v>2463.140625</v>
      </c>
      <c r="N185" s="2">
        <f t="shared" si="15"/>
        <v>740.140625</v>
      </c>
      <c r="O185" s="2">
        <f t="shared" si="16"/>
        <v>631.4</v>
      </c>
      <c r="P185" s="2">
        <f t="shared" si="17"/>
        <v>1262.8</v>
      </c>
    </row>
    <row r="186" spans="1:16">
      <c r="A186" s="1">
        <v>185</v>
      </c>
      <c r="B186" s="1">
        <v>26</v>
      </c>
      <c r="C186" s="1" t="s">
        <v>18</v>
      </c>
      <c r="D186" s="1">
        <v>160.2</v>
      </c>
      <c r="E186" s="1">
        <v>90.4</v>
      </c>
      <c r="F186" s="1">
        <v>979</v>
      </c>
      <c r="G186" s="1" t="s">
        <v>17</v>
      </c>
      <c r="H186" s="1">
        <v>1.375</v>
      </c>
      <c r="I186" s="1">
        <v>1.60199999999999</v>
      </c>
      <c r="J186" s="1">
        <v>35.2243840018952</v>
      </c>
      <c r="K186" t="str">
        <f t="shared" si="12"/>
        <v>缺口过大</v>
      </c>
      <c r="L186" s="2">
        <f t="shared" si="13"/>
        <v>1614.25</v>
      </c>
      <c r="M186" s="2">
        <f t="shared" si="14"/>
        <v>2219.59375</v>
      </c>
      <c r="N186" s="2">
        <f t="shared" si="15"/>
        <v>1240.59375</v>
      </c>
      <c r="O186" s="2">
        <f t="shared" si="16"/>
        <v>497.2</v>
      </c>
      <c r="P186" s="2">
        <f t="shared" si="17"/>
        <v>994.4</v>
      </c>
    </row>
    <row r="187" spans="1:16">
      <c r="A187" s="1">
        <v>186</v>
      </c>
      <c r="B187" s="1">
        <v>32</v>
      </c>
      <c r="C187" s="1" t="s">
        <v>16</v>
      </c>
      <c r="D187" s="1">
        <v>187.3</v>
      </c>
      <c r="E187" s="1">
        <v>71.1</v>
      </c>
      <c r="F187" s="1">
        <v>4273</v>
      </c>
      <c r="G187" s="1" t="s">
        <v>21</v>
      </c>
      <c r="H187" s="1">
        <v>1.725</v>
      </c>
      <c r="I187" s="1">
        <v>1.873</v>
      </c>
      <c r="J187" s="1">
        <v>20.2672136628955</v>
      </c>
      <c r="K187" t="str">
        <f t="shared" si="12"/>
        <v>没有热量缺口</v>
      </c>
      <c r="L187" s="2">
        <f t="shared" si="13"/>
        <v>1726.625</v>
      </c>
      <c r="M187" s="2">
        <f t="shared" si="14"/>
        <v>2978.428125</v>
      </c>
      <c r="N187" s="2">
        <f t="shared" si="15"/>
        <v>-1294.571875</v>
      </c>
      <c r="O187" s="2">
        <f t="shared" si="16"/>
        <v>391.05</v>
      </c>
      <c r="P187" s="2">
        <f t="shared" si="17"/>
        <v>782.1</v>
      </c>
    </row>
    <row r="188" spans="1:16">
      <c r="A188" s="1">
        <v>187</v>
      </c>
      <c r="B188" s="1">
        <v>30</v>
      </c>
      <c r="C188" s="1" t="s">
        <v>16</v>
      </c>
      <c r="D188" s="1">
        <v>162.8</v>
      </c>
      <c r="E188" s="1">
        <v>62.6</v>
      </c>
      <c r="F188" s="1">
        <v>2050</v>
      </c>
      <c r="G188" s="1" t="s">
        <v>17</v>
      </c>
      <c r="H188" s="1">
        <v>1.375</v>
      </c>
      <c r="I188" s="1">
        <v>1.628</v>
      </c>
      <c r="J188" s="1">
        <v>23.6192189509142</v>
      </c>
      <c r="K188" t="str">
        <f t="shared" si="12"/>
        <v>缺口过小</v>
      </c>
      <c r="L188" s="2">
        <f t="shared" si="13"/>
        <v>1498.5</v>
      </c>
      <c r="M188" s="2">
        <f t="shared" si="14"/>
        <v>2060.4375</v>
      </c>
      <c r="N188" s="2">
        <f t="shared" si="15"/>
        <v>10.4375</v>
      </c>
      <c r="O188" s="2">
        <f t="shared" si="16"/>
        <v>344.3</v>
      </c>
      <c r="P188" s="2">
        <f t="shared" si="17"/>
        <v>688.6</v>
      </c>
    </row>
    <row r="189" spans="1:16">
      <c r="A189" s="1">
        <v>188</v>
      </c>
      <c r="B189" s="1">
        <v>22</v>
      </c>
      <c r="C189" s="1" t="s">
        <v>18</v>
      </c>
      <c r="D189" s="1">
        <v>172.1</v>
      </c>
      <c r="E189" s="1">
        <v>138.5</v>
      </c>
      <c r="F189" s="1">
        <v>2271</v>
      </c>
      <c r="G189" s="1" t="s">
        <v>19</v>
      </c>
      <c r="H189" s="1">
        <v>1.2</v>
      </c>
      <c r="I189" s="1">
        <v>1.72099999999999</v>
      </c>
      <c r="J189" s="1">
        <v>46.7614568101393</v>
      </c>
      <c r="K189" t="str">
        <f t="shared" si="12"/>
        <v>缺口过小</v>
      </c>
      <c r="L189" s="2">
        <f t="shared" si="13"/>
        <v>2189.625</v>
      </c>
      <c r="M189" s="2">
        <f t="shared" si="14"/>
        <v>2627.55</v>
      </c>
      <c r="N189" s="2">
        <f t="shared" si="15"/>
        <v>356.55</v>
      </c>
      <c r="O189" s="2">
        <f t="shared" si="16"/>
        <v>761.75</v>
      </c>
      <c r="P189" s="2">
        <f t="shared" si="17"/>
        <v>1523.5</v>
      </c>
    </row>
    <row r="190" spans="1:16">
      <c r="A190" s="1">
        <v>189</v>
      </c>
      <c r="B190" s="1">
        <v>24</v>
      </c>
      <c r="C190" s="1" t="s">
        <v>18</v>
      </c>
      <c r="D190" s="1">
        <v>163.7</v>
      </c>
      <c r="E190" s="1">
        <v>113</v>
      </c>
      <c r="F190" s="1">
        <v>3011</v>
      </c>
      <c r="G190" s="1" t="s">
        <v>17</v>
      </c>
      <c r="H190" s="1">
        <v>1.375</v>
      </c>
      <c r="I190" s="1">
        <v>1.63699999999999</v>
      </c>
      <c r="J190" s="1">
        <v>42.1678137182719</v>
      </c>
      <c r="K190" t="str">
        <f t="shared" si="12"/>
        <v>没有热量缺口</v>
      </c>
      <c r="L190" s="2">
        <f t="shared" si="13"/>
        <v>1872.125</v>
      </c>
      <c r="M190" s="2">
        <f t="shared" si="14"/>
        <v>2574.171875</v>
      </c>
      <c r="N190" s="2">
        <f t="shared" si="15"/>
        <v>-436.828125</v>
      </c>
      <c r="O190" s="2">
        <f t="shared" si="16"/>
        <v>621.5</v>
      </c>
      <c r="P190" s="2">
        <f t="shared" si="17"/>
        <v>1243</v>
      </c>
    </row>
    <row r="191" spans="1:16">
      <c r="A191" s="1">
        <v>190</v>
      </c>
      <c r="B191" s="1">
        <v>31</v>
      </c>
      <c r="C191" s="1" t="s">
        <v>16</v>
      </c>
      <c r="D191" s="1">
        <v>183.4</v>
      </c>
      <c r="E191" s="1">
        <v>71.4</v>
      </c>
      <c r="F191" s="1">
        <v>4210</v>
      </c>
      <c r="G191" s="1" t="s">
        <v>21</v>
      </c>
      <c r="H191" s="1">
        <v>1.725</v>
      </c>
      <c r="I191" s="1">
        <v>1.834</v>
      </c>
      <c r="J191" s="1">
        <v>21.227534192979</v>
      </c>
      <c r="K191" t="str">
        <f t="shared" si="12"/>
        <v>没有热量缺口</v>
      </c>
      <c r="L191" s="2">
        <f t="shared" si="13"/>
        <v>1710.25</v>
      </c>
      <c r="M191" s="2">
        <f t="shared" si="14"/>
        <v>2950.18125</v>
      </c>
      <c r="N191" s="2">
        <f t="shared" si="15"/>
        <v>-1259.81875</v>
      </c>
      <c r="O191" s="2">
        <f t="shared" si="16"/>
        <v>392.7</v>
      </c>
      <c r="P191" s="2">
        <f t="shared" si="17"/>
        <v>785.4</v>
      </c>
    </row>
    <row r="192" spans="1:16">
      <c r="A192" s="1">
        <v>191</v>
      </c>
      <c r="B192" s="1">
        <v>29</v>
      </c>
      <c r="C192" s="1" t="s">
        <v>16</v>
      </c>
      <c r="D192" s="1">
        <v>182.1</v>
      </c>
      <c r="E192" s="1">
        <v>79.9</v>
      </c>
      <c r="F192" s="1">
        <v>2472</v>
      </c>
      <c r="G192" s="1" t="s">
        <v>17</v>
      </c>
      <c r="H192" s="1">
        <v>1.375</v>
      </c>
      <c r="I192" s="1">
        <v>1.821</v>
      </c>
      <c r="J192" s="1">
        <v>24.0949976191488</v>
      </c>
      <c r="K192" t="str">
        <f t="shared" si="12"/>
        <v>没有热量缺口</v>
      </c>
      <c r="L192" s="2">
        <f t="shared" si="13"/>
        <v>1797.125</v>
      </c>
      <c r="M192" s="2">
        <f t="shared" si="14"/>
        <v>2471.046875</v>
      </c>
      <c r="N192" s="2">
        <f t="shared" si="15"/>
        <v>-0.953125</v>
      </c>
      <c r="O192" s="2">
        <f t="shared" si="16"/>
        <v>439.45</v>
      </c>
      <c r="P192" s="2">
        <f t="shared" si="17"/>
        <v>878.9</v>
      </c>
    </row>
    <row r="193" spans="1:16">
      <c r="A193" s="1">
        <v>192</v>
      </c>
      <c r="B193" s="1">
        <v>24</v>
      </c>
      <c r="C193" s="1" t="s">
        <v>16</v>
      </c>
      <c r="D193" s="1">
        <v>181.2</v>
      </c>
      <c r="E193" s="1">
        <v>58.4</v>
      </c>
      <c r="F193" s="1">
        <v>1390</v>
      </c>
      <c r="G193" s="1" t="s">
        <v>19</v>
      </c>
      <c r="H193" s="1">
        <v>1.2</v>
      </c>
      <c r="I193" s="1">
        <v>1.81199999999999</v>
      </c>
      <c r="J193" s="1">
        <v>17.78674424611</v>
      </c>
      <c r="K193" t="str">
        <f t="shared" si="12"/>
        <v>缺口合适</v>
      </c>
      <c r="L193" s="2">
        <f t="shared" si="13"/>
        <v>1601.5</v>
      </c>
      <c r="M193" s="2">
        <f t="shared" si="14"/>
        <v>1921.8</v>
      </c>
      <c r="N193" s="2">
        <f t="shared" si="15"/>
        <v>531.8</v>
      </c>
      <c r="O193" s="2">
        <f t="shared" si="16"/>
        <v>321.2</v>
      </c>
      <c r="P193" s="2">
        <f t="shared" si="17"/>
        <v>642.4</v>
      </c>
    </row>
    <row r="194" spans="1:16">
      <c r="A194" s="1">
        <v>193</v>
      </c>
      <c r="B194" s="1">
        <v>35</v>
      </c>
      <c r="C194" s="1" t="s">
        <v>18</v>
      </c>
      <c r="D194" s="1">
        <v>158</v>
      </c>
      <c r="E194" s="1">
        <v>54</v>
      </c>
      <c r="F194" s="1">
        <v>1718</v>
      </c>
      <c r="G194" s="1" t="s">
        <v>17</v>
      </c>
      <c r="H194" s="1">
        <v>1.375</v>
      </c>
      <c r="I194" s="1">
        <v>1.58</v>
      </c>
      <c r="J194" s="1">
        <v>21.6311488543502</v>
      </c>
      <c r="K194" t="str">
        <f t="shared" ref="K194:K257" si="18">IF(N194&lt;=0,"没有热量缺口",IF(N194&lt;O194,"缺口过小",IF(N194&lt;=P194,"缺口合适","缺口过大")))</f>
        <v>没有热量缺口</v>
      </c>
      <c r="L194" s="2">
        <f t="shared" ref="L194:L257" si="19">IF(C194="male",10*E194+6.25*D194-5*B194+5,10*E194+6.25*D194-5*B194-161)</f>
        <v>1191.5</v>
      </c>
      <c r="M194" s="2">
        <f t="shared" ref="M194:M257" si="20">L194*H194</f>
        <v>1638.3125</v>
      </c>
      <c r="N194" s="2">
        <f t="shared" ref="N194:N257" si="21">M194-F194</f>
        <v>-79.6875</v>
      </c>
      <c r="O194" s="2">
        <f t="shared" ref="O194:O257" si="22">E194*0.005*7700/7</f>
        <v>297</v>
      </c>
      <c r="P194" s="2">
        <f t="shared" ref="P194:P257" si="23">E194*0.01*7700/7</f>
        <v>594</v>
      </c>
    </row>
    <row r="195" spans="1:16">
      <c r="A195" s="1">
        <v>194</v>
      </c>
      <c r="B195" s="1">
        <v>20</v>
      </c>
      <c r="C195" s="1" t="s">
        <v>16</v>
      </c>
      <c r="D195" s="1">
        <v>165</v>
      </c>
      <c r="E195" s="1">
        <v>112.3</v>
      </c>
      <c r="F195" s="1">
        <v>2189</v>
      </c>
      <c r="G195" s="1" t="s">
        <v>19</v>
      </c>
      <c r="H195" s="1">
        <v>1.2</v>
      </c>
      <c r="I195" s="1">
        <v>1.65</v>
      </c>
      <c r="J195" s="1">
        <v>41.248852157943</v>
      </c>
      <c r="K195" t="str">
        <f t="shared" si="18"/>
        <v>缺口过小</v>
      </c>
      <c r="L195" s="2">
        <f t="shared" si="19"/>
        <v>2059.25</v>
      </c>
      <c r="M195" s="2">
        <f t="shared" si="20"/>
        <v>2471.1</v>
      </c>
      <c r="N195" s="2">
        <f t="shared" si="21"/>
        <v>282.1</v>
      </c>
      <c r="O195" s="2">
        <f t="shared" si="22"/>
        <v>617.65</v>
      </c>
      <c r="P195" s="2">
        <f t="shared" si="23"/>
        <v>1235.3</v>
      </c>
    </row>
    <row r="196" spans="1:16">
      <c r="A196" s="1">
        <v>195</v>
      </c>
      <c r="B196" s="1">
        <v>23</v>
      </c>
      <c r="C196" s="1" t="s">
        <v>16</v>
      </c>
      <c r="D196" s="1">
        <v>172.8</v>
      </c>
      <c r="E196" s="1">
        <v>74.2</v>
      </c>
      <c r="F196" s="1">
        <v>2762</v>
      </c>
      <c r="G196" s="1" t="s">
        <v>21</v>
      </c>
      <c r="H196" s="1">
        <v>1.725</v>
      </c>
      <c r="I196" s="1">
        <v>1.728</v>
      </c>
      <c r="J196" s="1">
        <v>24.8494298696844</v>
      </c>
      <c r="K196" t="str">
        <f t="shared" si="18"/>
        <v>缺口过小</v>
      </c>
      <c r="L196" s="2">
        <f t="shared" si="19"/>
        <v>1712</v>
      </c>
      <c r="M196" s="2">
        <f t="shared" si="20"/>
        <v>2953.2</v>
      </c>
      <c r="N196" s="2">
        <f t="shared" si="21"/>
        <v>191.2</v>
      </c>
      <c r="O196" s="2">
        <f t="shared" si="22"/>
        <v>408.1</v>
      </c>
      <c r="P196" s="2">
        <f t="shared" si="23"/>
        <v>816.2</v>
      </c>
    </row>
    <row r="197" spans="1:16">
      <c r="A197" s="1">
        <v>196</v>
      </c>
      <c r="B197" s="1">
        <v>28</v>
      </c>
      <c r="C197" s="1" t="s">
        <v>16</v>
      </c>
      <c r="D197" s="1">
        <v>170.6</v>
      </c>
      <c r="E197" s="1">
        <v>104.2</v>
      </c>
      <c r="F197" s="1">
        <v>1239</v>
      </c>
      <c r="G197" s="1" t="s">
        <v>17</v>
      </c>
      <c r="H197" s="1">
        <v>1.375</v>
      </c>
      <c r="I197" s="1">
        <v>1.706</v>
      </c>
      <c r="J197" s="1">
        <v>35.8021959596431</v>
      </c>
      <c r="K197" t="str">
        <f t="shared" si="18"/>
        <v>缺口过大</v>
      </c>
      <c r="L197" s="2">
        <f t="shared" si="19"/>
        <v>1973.25</v>
      </c>
      <c r="M197" s="2">
        <f t="shared" si="20"/>
        <v>2713.21875</v>
      </c>
      <c r="N197" s="2">
        <f t="shared" si="21"/>
        <v>1474.21875</v>
      </c>
      <c r="O197" s="2">
        <f t="shared" si="22"/>
        <v>573.1</v>
      </c>
      <c r="P197" s="2">
        <f t="shared" si="23"/>
        <v>1146.2</v>
      </c>
    </row>
    <row r="198" spans="1:16">
      <c r="A198" s="1">
        <v>197</v>
      </c>
      <c r="B198" s="1">
        <v>26</v>
      </c>
      <c r="C198" s="1" t="s">
        <v>16</v>
      </c>
      <c r="D198" s="1">
        <v>179.9</v>
      </c>
      <c r="E198" s="1">
        <v>89.3</v>
      </c>
      <c r="F198" s="1">
        <v>1846</v>
      </c>
      <c r="G198" s="1" t="s">
        <v>21</v>
      </c>
      <c r="H198" s="1">
        <v>1.725</v>
      </c>
      <c r="I198" s="1">
        <v>1.799</v>
      </c>
      <c r="J198" s="1">
        <v>27.5923780767587</v>
      </c>
      <c r="K198" t="str">
        <f t="shared" si="18"/>
        <v>缺口过大</v>
      </c>
      <c r="L198" s="2">
        <f t="shared" si="19"/>
        <v>1892.375</v>
      </c>
      <c r="M198" s="2">
        <f t="shared" si="20"/>
        <v>3264.346875</v>
      </c>
      <c r="N198" s="2">
        <f t="shared" si="21"/>
        <v>1418.346875</v>
      </c>
      <c r="O198" s="2">
        <f t="shared" si="22"/>
        <v>491.15</v>
      </c>
      <c r="P198" s="2">
        <f t="shared" si="23"/>
        <v>982.3</v>
      </c>
    </row>
    <row r="199" spans="1:16">
      <c r="A199" s="1">
        <v>198</v>
      </c>
      <c r="B199" s="1">
        <v>23</v>
      </c>
      <c r="C199" s="1" t="s">
        <v>18</v>
      </c>
      <c r="D199" s="1">
        <v>175.8</v>
      </c>
      <c r="E199" s="1">
        <v>73.5</v>
      </c>
      <c r="F199" s="1">
        <v>2432</v>
      </c>
      <c r="G199" s="1" t="s">
        <v>20</v>
      </c>
      <c r="H199" s="1">
        <v>1.55</v>
      </c>
      <c r="I199" s="1">
        <v>1.758</v>
      </c>
      <c r="J199" s="1">
        <v>23.7820669625349</v>
      </c>
      <c r="K199" t="str">
        <f t="shared" si="18"/>
        <v>没有热量缺口</v>
      </c>
      <c r="L199" s="2">
        <f t="shared" si="19"/>
        <v>1557.75</v>
      </c>
      <c r="M199" s="2">
        <f t="shared" si="20"/>
        <v>2414.5125</v>
      </c>
      <c r="N199" s="2">
        <f t="shared" si="21"/>
        <v>-17.4874999999997</v>
      </c>
      <c r="O199" s="2">
        <f t="shared" si="22"/>
        <v>404.25</v>
      </c>
      <c r="P199" s="2">
        <f t="shared" si="23"/>
        <v>808.5</v>
      </c>
    </row>
    <row r="200" spans="1:16">
      <c r="A200" s="1">
        <v>199</v>
      </c>
      <c r="B200" s="1">
        <v>28</v>
      </c>
      <c r="C200" s="1" t="s">
        <v>18</v>
      </c>
      <c r="D200" s="1">
        <v>161.1</v>
      </c>
      <c r="E200" s="1">
        <v>89</v>
      </c>
      <c r="F200" s="1">
        <v>1355</v>
      </c>
      <c r="G200" s="1" t="s">
        <v>21</v>
      </c>
      <c r="H200" s="1">
        <v>1.725</v>
      </c>
      <c r="I200" s="1">
        <v>1.611</v>
      </c>
      <c r="J200" s="1">
        <v>34.2924825098706</v>
      </c>
      <c r="K200" t="str">
        <f t="shared" si="18"/>
        <v>缺口过大</v>
      </c>
      <c r="L200" s="2">
        <f t="shared" si="19"/>
        <v>1595.875</v>
      </c>
      <c r="M200" s="2">
        <f t="shared" si="20"/>
        <v>2752.884375</v>
      </c>
      <c r="N200" s="2">
        <f t="shared" si="21"/>
        <v>1397.884375</v>
      </c>
      <c r="O200" s="2">
        <f t="shared" si="22"/>
        <v>489.5</v>
      </c>
      <c r="P200" s="2">
        <f t="shared" si="23"/>
        <v>979</v>
      </c>
    </row>
    <row r="201" spans="1:16">
      <c r="A201" s="1">
        <v>200</v>
      </c>
      <c r="B201" s="1">
        <v>25</v>
      </c>
      <c r="C201" s="1" t="s">
        <v>18</v>
      </c>
      <c r="D201" s="1">
        <v>160</v>
      </c>
      <c r="E201" s="1">
        <v>76.7</v>
      </c>
      <c r="F201" s="1">
        <v>1371</v>
      </c>
      <c r="G201" s="1" t="s">
        <v>17</v>
      </c>
      <c r="H201" s="1">
        <v>1.375</v>
      </c>
      <c r="I201" s="1">
        <v>1.6</v>
      </c>
      <c r="J201" s="1">
        <v>29.9609374999999</v>
      </c>
      <c r="K201" t="str">
        <f t="shared" si="18"/>
        <v>缺口合适</v>
      </c>
      <c r="L201" s="2">
        <f t="shared" si="19"/>
        <v>1481</v>
      </c>
      <c r="M201" s="2">
        <f t="shared" si="20"/>
        <v>2036.375</v>
      </c>
      <c r="N201" s="2">
        <f t="shared" si="21"/>
        <v>665.375</v>
      </c>
      <c r="O201" s="2">
        <f t="shared" si="22"/>
        <v>421.85</v>
      </c>
      <c r="P201" s="2">
        <f t="shared" si="23"/>
        <v>843.7</v>
      </c>
    </row>
    <row r="202" spans="1:16">
      <c r="A202" s="1">
        <v>201</v>
      </c>
      <c r="B202" s="1">
        <v>23</v>
      </c>
      <c r="C202" s="1" t="s">
        <v>18</v>
      </c>
      <c r="D202" s="1">
        <v>174.6</v>
      </c>
      <c r="E202" s="1">
        <v>111.3</v>
      </c>
      <c r="F202" s="1">
        <v>3003</v>
      </c>
      <c r="G202" s="1" t="s">
        <v>17</v>
      </c>
      <c r="H202" s="1">
        <v>1.375</v>
      </c>
      <c r="I202" s="1">
        <v>1.746</v>
      </c>
      <c r="J202" s="1">
        <v>36.5095672779805</v>
      </c>
      <c r="K202" t="str">
        <f t="shared" si="18"/>
        <v>没有热量缺口</v>
      </c>
      <c r="L202" s="2">
        <f t="shared" si="19"/>
        <v>1928.25</v>
      </c>
      <c r="M202" s="2">
        <f t="shared" si="20"/>
        <v>2651.34375</v>
      </c>
      <c r="N202" s="2">
        <f t="shared" si="21"/>
        <v>-351.65625</v>
      </c>
      <c r="O202" s="2">
        <f t="shared" si="22"/>
        <v>612.15</v>
      </c>
      <c r="P202" s="2">
        <f t="shared" si="23"/>
        <v>1224.3</v>
      </c>
    </row>
    <row r="203" spans="1:16">
      <c r="A203" s="1">
        <v>202</v>
      </c>
      <c r="B203" s="1">
        <v>32</v>
      </c>
      <c r="C203" s="1" t="s">
        <v>16</v>
      </c>
      <c r="D203" s="1">
        <v>175</v>
      </c>
      <c r="E203" s="1">
        <v>124.5</v>
      </c>
      <c r="F203" s="1">
        <v>2820</v>
      </c>
      <c r="G203" s="1" t="s">
        <v>21</v>
      </c>
      <c r="H203" s="1">
        <v>1.725</v>
      </c>
      <c r="I203" s="1">
        <v>1.75</v>
      </c>
      <c r="J203" s="1">
        <v>40.6530612244898</v>
      </c>
      <c r="K203" t="str">
        <f t="shared" si="18"/>
        <v>缺口合适</v>
      </c>
      <c r="L203" s="2">
        <f t="shared" si="19"/>
        <v>2183.75</v>
      </c>
      <c r="M203" s="2">
        <f t="shared" si="20"/>
        <v>3766.96875</v>
      </c>
      <c r="N203" s="2">
        <f t="shared" si="21"/>
        <v>946.96875</v>
      </c>
      <c r="O203" s="2">
        <f t="shared" si="22"/>
        <v>684.75</v>
      </c>
      <c r="P203" s="2">
        <f t="shared" si="23"/>
        <v>1369.5</v>
      </c>
    </row>
    <row r="204" spans="1:16">
      <c r="A204" s="1">
        <v>203</v>
      </c>
      <c r="B204" s="1">
        <v>28</v>
      </c>
      <c r="C204" s="1" t="s">
        <v>16</v>
      </c>
      <c r="D204" s="1">
        <v>179.4</v>
      </c>
      <c r="E204" s="1">
        <v>96.3</v>
      </c>
      <c r="F204" s="1">
        <v>1276</v>
      </c>
      <c r="G204" s="1" t="s">
        <v>17</v>
      </c>
      <c r="H204" s="1">
        <v>1.375</v>
      </c>
      <c r="I204" s="1">
        <v>1.794</v>
      </c>
      <c r="J204" s="1">
        <v>29.921365532824</v>
      </c>
      <c r="K204" t="str">
        <f t="shared" si="18"/>
        <v>缺口过大</v>
      </c>
      <c r="L204" s="2">
        <f t="shared" si="19"/>
        <v>1949.25</v>
      </c>
      <c r="M204" s="2">
        <f t="shared" si="20"/>
        <v>2680.21875</v>
      </c>
      <c r="N204" s="2">
        <f t="shared" si="21"/>
        <v>1404.21875</v>
      </c>
      <c r="O204" s="2">
        <f t="shared" si="22"/>
        <v>529.65</v>
      </c>
      <c r="P204" s="2">
        <f t="shared" si="23"/>
        <v>1059.3</v>
      </c>
    </row>
    <row r="205" spans="1:16">
      <c r="A205" s="1">
        <v>204</v>
      </c>
      <c r="B205" s="1">
        <v>31</v>
      </c>
      <c r="C205" s="1" t="s">
        <v>18</v>
      </c>
      <c r="D205" s="1">
        <v>169.2</v>
      </c>
      <c r="E205" s="1">
        <v>79.1</v>
      </c>
      <c r="F205" s="1">
        <v>1679</v>
      </c>
      <c r="G205" s="1" t="s">
        <v>17</v>
      </c>
      <c r="H205" s="1">
        <v>1.375</v>
      </c>
      <c r="I205" s="1">
        <v>1.692</v>
      </c>
      <c r="J205" s="1">
        <v>27.6296743401013</v>
      </c>
      <c r="K205" t="str">
        <f t="shared" si="18"/>
        <v>缺口过小</v>
      </c>
      <c r="L205" s="2">
        <f t="shared" si="19"/>
        <v>1532.5</v>
      </c>
      <c r="M205" s="2">
        <f t="shared" si="20"/>
        <v>2107.1875</v>
      </c>
      <c r="N205" s="2">
        <f t="shared" si="21"/>
        <v>428.1875</v>
      </c>
      <c r="O205" s="2">
        <f t="shared" si="22"/>
        <v>435.05</v>
      </c>
      <c r="P205" s="2">
        <f t="shared" si="23"/>
        <v>870.1</v>
      </c>
    </row>
    <row r="206" spans="1:16">
      <c r="A206" s="1">
        <v>205</v>
      </c>
      <c r="B206" s="1">
        <v>24</v>
      </c>
      <c r="C206" s="1" t="s">
        <v>18</v>
      </c>
      <c r="D206" s="1">
        <v>167.4</v>
      </c>
      <c r="E206" s="1">
        <v>71.3</v>
      </c>
      <c r="F206" s="1">
        <v>427</v>
      </c>
      <c r="G206" s="1" t="s">
        <v>21</v>
      </c>
      <c r="H206" s="1">
        <v>1.725</v>
      </c>
      <c r="I206" s="1">
        <v>1.674</v>
      </c>
      <c r="J206" s="1">
        <v>25.4436036992787</v>
      </c>
      <c r="K206" t="str">
        <f t="shared" si="18"/>
        <v>缺口过大</v>
      </c>
      <c r="L206" s="2">
        <f t="shared" si="19"/>
        <v>1478.25</v>
      </c>
      <c r="M206" s="2">
        <f t="shared" si="20"/>
        <v>2549.98125</v>
      </c>
      <c r="N206" s="2">
        <f t="shared" si="21"/>
        <v>2122.98125</v>
      </c>
      <c r="O206" s="2">
        <f t="shared" si="22"/>
        <v>392.15</v>
      </c>
      <c r="P206" s="2">
        <f t="shared" si="23"/>
        <v>784.3</v>
      </c>
    </row>
    <row r="207" spans="1:16">
      <c r="A207" s="1">
        <v>206</v>
      </c>
      <c r="B207" s="1">
        <v>24</v>
      </c>
      <c r="C207" s="1" t="s">
        <v>16</v>
      </c>
      <c r="D207" s="1">
        <v>182.8</v>
      </c>
      <c r="E207" s="1">
        <v>75.7</v>
      </c>
      <c r="F207" s="1">
        <v>2078</v>
      </c>
      <c r="G207" s="1" t="s">
        <v>21</v>
      </c>
      <c r="H207" s="1">
        <v>1.725</v>
      </c>
      <c r="I207" s="1">
        <v>1.828</v>
      </c>
      <c r="J207" s="1">
        <v>22.6539269998898</v>
      </c>
      <c r="K207" t="str">
        <f t="shared" si="18"/>
        <v>缺口过大</v>
      </c>
      <c r="L207" s="2">
        <f t="shared" si="19"/>
        <v>1784.5</v>
      </c>
      <c r="M207" s="2">
        <f t="shared" si="20"/>
        <v>3078.2625</v>
      </c>
      <c r="N207" s="2">
        <f t="shared" si="21"/>
        <v>1000.2625</v>
      </c>
      <c r="O207" s="2">
        <f t="shared" si="22"/>
        <v>416.35</v>
      </c>
      <c r="P207" s="2">
        <f t="shared" si="23"/>
        <v>832.7</v>
      </c>
    </row>
    <row r="208" spans="1:16">
      <c r="A208" s="1">
        <v>207</v>
      </c>
      <c r="B208" s="1">
        <v>32</v>
      </c>
      <c r="C208" s="1" t="s">
        <v>18</v>
      </c>
      <c r="D208" s="1">
        <v>151.7</v>
      </c>
      <c r="E208" s="1">
        <v>65.8</v>
      </c>
      <c r="F208" s="1">
        <v>2307</v>
      </c>
      <c r="G208" s="1" t="s">
        <v>21</v>
      </c>
      <c r="H208" s="1">
        <v>1.725</v>
      </c>
      <c r="I208" s="1">
        <v>1.517</v>
      </c>
      <c r="J208" s="1">
        <v>28.5926713246358</v>
      </c>
      <c r="K208" t="str">
        <f t="shared" si="18"/>
        <v>没有热量缺口</v>
      </c>
      <c r="L208" s="2">
        <f t="shared" si="19"/>
        <v>1285.125</v>
      </c>
      <c r="M208" s="2">
        <f t="shared" si="20"/>
        <v>2216.840625</v>
      </c>
      <c r="N208" s="2">
        <f t="shared" si="21"/>
        <v>-90.1593749999997</v>
      </c>
      <c r="O208" s="2">
        <f t="shared" si="22"/>
        <v>361.9</v>
      </c>
      <c r="P208" s="2">
        <f t="shared" si="23"/>
        <v>723.8</v>
      </c>
    </row>
    <row r="209" spans="1:16">
      <c r="A209" s="1">
        <v>208</v>
      </c>
      <c r="B209" s="1">
        <v>32</v>
      </c>
      <c r="C209" s="1" t="s">
        <v>18</v>
      </c>
      <c r="D209" s="1">
        <v>153.3</v>
      </c>
      <c r="E209" s="1">
        <v>65.2</v>
      </c>
      <c r="F209" s="1">
        <v>522</v>
      </c>
      <c r="G209" s="1" t="s">
        <v>17</v>
      </c>
      <c r="H209" s="1">
        <v>1.375</v>
      </c>
      <c r="I209" s="1">
        <v>1.533</v>
      </c>
      <c r="J209" s="1">
        <v>27.7436301348587</v>
      </c>
      <c r="K209" t="str">
        <f t="shared" si="18"/>
        <v>缺口过大</v>
      </c>
      <c r="L209" s="2">
        <f t="shared" si="19"/>
        <v>1289.125</v>
      </c>
      <c r="M209" s="2">
        <f t="shared" si="20"/>
        <v>1772.546875</v>
      </c>
      <c r="N209" s="2">
        <f t="shared" si="21"/>
        <v>1250.546875</v>
      </c>
      <c r="O209" s="2">
        <f t="shared" si="22"/>
        <v>358.6</v>
      </c>
      <c r="P209" s="2">
        <f t="shared" si="23"/>
        <v>717.2</v>
      </c>
    </row>
    <row r="210" spans="1:16">
      <c r="A210" s="1">
        <v>209</v>
      </c>
      <c r="B210" s="1">
        <v>34</v>
      </c>
      <c r="C210" s="1" t="s">
        <v>16</v>
      </c>
      <c r="D210" s="1">
        <v>181</v>
      </c>
      <c r="E210" s="1">
        <v>161.7</v>
      </c>
      <c r="F210" s="1">
        <v>1604</v>
      </c>
      <c r="G210" s="1" t="s">
        <v>19</v>
      </c>
      <c r="H210" s="1">
        <v>1.2</v>
      </c>
      <c r="I210" s="1">
        <v>1.81</v>
      </c>
      <c r="J210" s="1">
        <v>49.3574677207655</v>
      </c>
      <c r="K210" t="str">
        <f t="shared" si="18"/>
        <v>缺口合适</v>
      </c>
      <c r="L210" s="2">
        <f t="shared" si="19"/>
        <v>2583.25</v>
      </c>
      <c r="M210" s="2">
        <f t="shared" si="20"/>
        <v>3099.9</v>
      </c>
      <c r="N210" s="2">
        <f t="shared" si="21"/>
        <v>1495.9</v>
      </c>
      <c r="O210" s="2">
        <f t="shared" si="22"/>
        <v>889.35</v>
      </c>
      <c r="P210" s="2">
        <f t="shared" si="23"/>
        <v>1778.7</v>
      </c>
    </row>
    <row r="211" spans="1:16">
      <c r="A211" s="1">
        <v>210</v>
      </c>
      <c r="B211" s="1">
        <v>28</v>
      </c>
      <c r="C211" s="1" t="s">
        <v>18</v>
      </c>
      <c r="D211" s="1">
        <v>167.3</v>
      </c>
      <c r="E211" s="1">
        <v>67.5</v>
      </c>
      <c r="F211" s="1">
        <v>2522</v>
      </c>
      <c r="G211" s="1" t="s">
        <v>21</v>
      </c>
      <c r="H211" s="1">
        <v>1.725</v>
      </c>
      <c r="I211" s="1">
        <v>1.673</v>
      </c>
      <c r="J211" s="1">
        <v>24.1163673676609</v>
      </c>
      <c r="K211" t="str">
        <f t="shared" si="18"/>
        <v>没有热量缺口</v>
      </c>
      <c r="L211" s="2">
        <f t="shared" si="19"/>
        <v>1419.625</v>
      </c>
      <c r="M211" s="2">
        <f t="shared" si="20"/>
        <v>2448.853125</v>
      </c>
      <c r="N211" s="2">
        <f t="shared" si="21"/>
        <v>-73.1468749999999</v>
      </c>
      <c r="O211" s="2">
        <f t="shared" si="22"/>
        <v>371.25</v>
      </c>
      <c r="P211" s="2">
        <f t="shared" si="23"/>
        <v>742.5</v>
      </c>
    </row>
    <row r="212" spans="1:16">
      <c r="A212" s="1">
        <v>211</v>
      </c>
      <c r="B212" s="1">
        <v>22</v>
      </c>
      <c r="C212" s="1" t="s">
        <v>16</v>
      </c>
      <c r="D212" s="1">
        <v>175.8</v>
      </c>
      <c r="E212" s="1">
        <v>128.5</v>
      </c>
      <c r="F212" s="1">
        <v>2364</v>
      </c>
      <c r="G212" s="1" t="s">
        <v>17</v>
      </c>
      <c r="H212" s="1">
        <v>1.375</v>
      </c>
      <c r="I212" s="1">
        <v>1.758</v>
      </c>
      <c r="J212" s="1">
        <v>41.578171492323</v>
      </c>
      <c r="K212" t="str">
        <f t="shared" si="18"/>
        <v>缺口合适</v>
      </c>
      <c r="L212" s="2">
        <f t="shared" si="19"/>
        <v>2278.75</v>
      </c>
      <c r="M212" s="2">
        <f t="shared" si="20"/>
        <v>3133.28125</v>
      </c>
      <c r="N212" s="2">
        <f t="shared" si="21"/>
        <v>769.28125</v>
      </c>
      <c r="O212" s="2">
        <f t="shared" si="22"/>
        <v>706.75</v>
      </c>
      <c r="P212" s="2">
        <f t="shared" si="23"/>
        <v>1413.5</v>
      </c>
    </row>
    <row r="213" spans="1:16">
      <c r="A213" s="1">
        <v>212</v>
      </c>
      <c r="B213" s="1">
        <v>26</v>
      </c>
      <c r="C213" s="1" t="s">
        <v>18</v>
      </c>
      <c r="D213" s="1">
        <v>164.7</v>
      </c>
      <c r="E213" s="1">
        <v>59.2</v>
      </c>
      <c r="F213" s="1">
        <v>777</v>
      </c>
      <c r="G213" s="1" t="s">
        <v>19</v>
      </c>
      <c r="H213" s="1">
        <v>1.2</v>
      </c>
      <c r="I213" s="1">
        <v>1.64699999999999</v>
      </c>
      <c r="J213" s="1">
        <v>21.8240078094557</v>
      </c>
      <c r="K213" t="str">
        <f t="shared" si="18"/>
        <v>缺口过大</v>
      </c>
      <c r="L213" s="2">
        <f t="shared" si="19"/>
        <v>1330.375</v>
      </c>
      <c r="M213" s="2">
        <f t="shared" si="20"/>
        <v>1596.45</v>
      </c>
      <c r="N213" s="2">
        <f t="shared" si="21"/>
        <v>819.45</v>
      </c>
      <c r="O213" s="2">
        <f t="shared" si="22"/>
        <v>325.6</v>
      </c>
      <c r="P213" s="2">
        <f t="shared" si="23"/>
        <v>651.2</v>
      </c>
    </row>
    <row r="214" spans="1:16">
      <c r="A214" s="1">
        <v>213</v>
      </c>
      <c r="B214" s="1">
        <v>24</v>
      </c>
      <c r="C214" s="1" t="s">
        <v>18</v>
      </c>
      <c r="D214" s="1">
        <v>170.8</v>
      </c>
      <c r="E214" s="1">
        <v>57.7</v>
      </c>
      <c r="F214" s="1">
        <v>2302</v>
      </c>
      <c r="G214" s="1" t="s">
        <v>21</v>
      </c>
      <c r="H214" s="1">
        <v>1.725</v>
      </c>
      <c r="I214" s="1">
        <v>1.708</v>
      </c>
      <c r="J214" s="1">
        <v>19.7788064432975</v>
      </c>
      <c r="K214" t="str">
        <f t="shared" si="18"/>
        <v>缺口过小</v>
      </c>
      <c r="L214" s="2">
        <f t="shared" si="19"/>
        <v>1363.5</v>
      </c>
      <c r="M214" s="2">
        <f t="shared" si="20"/>
        <v>2352.0375</v>
      </c>
      <c r="N214" s="2">
        <f t="shared" si="21"/>
        <v>50.0374999999999</v>
      </c>
      <c r="O214" s="2">
        <f t="shared" si="22"/>
        <v>317.35</v>
      </c>
      <c r="P214" s="2">
        <f t="shared" si="23"/>
        <v>634.7</v>
      </c>
    </row>
    <row r="215" spans="1:16">
      <c r="A215" s="1">
        <v>214</v>
      </c>
      <c r="B215" s="1">
        <v>32</v>
      </c>
      <c r="C215" s="1" t="s">
        <v>16</v>
      </c>
      <c r="D215" s="1">
        <v>183.6</v>
      </c>
      <c r="E215" s="1">
        <v>92.3</v>
      </c>
      <c r="F215" s="1">
        <v>1985</v>
      </c>
      <c r="G215" s="1" t="s">
        <v>19</v>
      </c>
      <c r="H215" s="1">
        <v>1.2</v>
      </c>
      <c r="I215" s="1">
        <v>1.83599999999999</v>
      </c>
      <c r="J215" s="1">
        <v>27.3814439840327</v>
      </c>
      <c r="K215" t="str">
        <f t="shared" si="18"/>
        <v>缺口过小</v>
      </c>
      <c r="L215" s="2">
        <f t="shared" si="19"/>
        <v>1915.5</v>
      </c>
      <c r="M215" s="2">
        <f t="shared" si="20"/>
        <v>2298.6</v>
      </c>
      <c r="N215" s="2">
        <f t="shared" si="21"/>
        <v>313.6</v>
      </c>
      <c r="O215" s="2">
        <f t="shared" si="22"/>
        <v>507.65</v>
      </c>
      <c r="P215" s="2">
        <f t="shared" si="23"/>
        <v>1015.3</v>
      </c>
    </row>
    <row r="216" spans="1:16">
      <c r="A216" s="1">
        <v>215</v>
      </c>
      <c r="B216" s="1">
        <v>29</v>
      </c>
      <c r="C216" s="1" t="s">
        <v>18</v>
      </c>
      <c r="D216" s="1">
        <v>156.2</v>
      </c>
      <c r="E216" s="1">
        <v>72.7</v>
      </c>
      <c r="F216" s="1">
        <v>2534</v>
      </c>
      <c r="G216" s="1" t="s">
        <v>21</v>
      </c>
      <c r="H216" s="1">
        <v>1.725</v>
      </c>
      <c r="I216" s="1">
        <v>1.56199999999999</v>
      </c>
      <c r="J216" s="1">
        <v>29.7969870204816</v>
      </c>
      <c r="K216" t="str">
        <f t="shared" si="18"/>
        <v>没有热量缺口</v>
      </c>
      <c r="L216" s="2">
        <f t="shared" si="19"/>
        <v>1397.25</v>
      </c>
      <c r="M216" s="2">
        <f t="shared" si="20"/>
        <v>2410.25625</v>
      </c>
      <c r="N216" s="2">
        <f t="shared" si="21"/>
        <v>-123.74375</v>
      </c>
      <c r="O216" s="2">
        <f t="shared" si="22"/>
        <v>399.85</v>
      </c>
      <c r="P216" s="2">
        <f t="shared" si="23"/>
        <v>799.7</v>
      </c>
    </row>
    <row r="217" spans="1:16">
      <c r="A217" s="1">
        <v>216</v>
      </c>
      <c r="B217" s="1">
        <v>31</v>
      </c>
      <c r="C217" s="1" t="s">
        <v>16</v>
      </c>
      <c r="D217" s="1">
        <v>166.5</v>
      </c>
      <c r="E217" s="1">
        <v>55.2</v>
      </c>
      <c r="F217" s="1">
        <v>3363</v>
      </c>
      <c r="G217" s="1" t="s">
        <v>17</v>
      </c>
      <c r="H217" s="1">
        <v>1.375</v>
      </c>
      <c r="I217" s="1">
        <v>1.665</v>
      </c>
      <c r="J217" s="1">
        <v>19.9118036955874</v>
      </c>
      <c r="K217" t="str">
        <f t="shared" si="18"/>
        <v>没有热量缺口</v>
      </c>
      <c r="L217" s="2">
        <f t="shared" si="19"/>
        <v>1442.625</v>
      </c>
      <c r="M217" s="2">
        <f t="shared" si="20"/>
        <v>1983.609375</v>
      </c>
      <c r="N217" s="2">
        <f t="shared" si="21"/>
        <v>-1379.390625</v>
      </c>
      <c r="O217" s="2">
        <f t="shared" si="22"/>
        <v>303.6</v>
      </c>
      <c r="P217" s="2">
        <f t="shared" si="23"/>
        <v>607.2</v>
      </c>
    </row>
    <row r="218" spans="1:16">
      <c r="A218" s="1">
        <v>217</v>
      </c>
      <c r="B218" s="1">
        <v>30</v>
      </c>
      <c r="C218" s="1" t="s">
        <v>18</v>
      </c>
      <c r="D218" s="1">
        <v>166.1</v>
      </c>
      <c r="E218" s="1">
        <v>84.9</v>
      </c>
      <c r="F218" s="1">
        <v>2470</v>
      </c>
      <c r="G218" s="1" t="s">
        <v>17</v>
      </c>
      <c r="H218" s="1">
        <v>1.375</v>
      </c>
      <c r="I218" s="1">
        <v>1.661</v>
      </c>
      <c r="J218" s="1">
        <v>30.7728999851753</v>
      </c>
      <c r="K218" t="str">
        <f t="shared" si="18"/>
        <v>没有热量缺口</v>
      </c>
      <c r="L218" s="2">
        <f t="shared" si="19"/>
        <v>1576.125</v>
      </c>
      <c r="M218" s="2">
        <f t="shared" si="20"/>
        <v>2167.171875</v>
      </c>
      <c r="N218" s="2">
        <f t="shared" si="21"/>
        <v>-302.828125</v>
      </c>
      <c r="O218" s="2">
        <f t="shared" si="22"/>
        <v>466.95</v>
      </c>
      <c r="P218" s="2">
        <f t="shared" si="23"/>
        <v>933.9</v>
      </c>
    </row>
    <row r="219" spans="1:16">
      <c r="A219" s="1">
        <v>218</v>
      </c>
      <c r="B219" s="1">
        <v>32</v>
      </c>
      <c r="C219" s="1" t="s">
        <v>16</v>
      </c>
      <c r="D219" s="1">
        <v>183.5</v>
      </c>
      <c r="E219" s="1">
        <v>94.2</v>
      </c>
      <c r="F219" s="1">
        <v>2960</v>
      </c>
      <c r="G219" s="1" t="s">
        <v>17</v>
      </c>
      <c r="H219" s="1">
        <v>1.375</v>
      </c>
      <c r="I219" s="1">
        <v>1.835</v>
      </c>
      <c r="J219" s="1">
        <v>27.9755585088611</v>
      </c>
      <c r="K219" t="str">
        <f t="shared" si="18"/>
        <v>没有热量缺口</v>
      </c>
      <c r="L219" s="2">
        <f t="shared" si="19"/>
        <v>1933.875</v>
      </c>
      <c r="M219" s="2">
        <f t="shared" si="20"/>
        <v>2659.078125</v>
      </c>
      <c r="N219" s="2">
        <f t="shared" si="21"/>
        <v>-300.921875</v>
      </c>
      <c r="O219" s="2">
        <f t="shared" si="22"/>
        <v>518.1</v>
      </c>
      <c r="P219" s="2">
        <f t="shared" si="23"/>
        <v>1036.2</v>
      </c>
    </row>
    <row r="220" spans="1:16">
      <c r="A220" s="1">
        <v>219</v>
      </c>
      <c r="B220" s="1">
        <v>35</v>
      </c>
      <c r="C220" s="1" t="s">
        <v>18</v>
      </c>
      <c r="D220" s="1">
        <v>157.2</v>
      </c>
      <c r="E220" s="1">
        <v>84.7</v>
      </c>
      <c r="F220" s="1">
        <v>1522</v>
      </c>
      <c r="G220" s="1" t="s">
        <v>17</v>
      </c>
      <c r="H220" s="1">
        <v>1.375</v>
      </c>
      <c r="I220" s="1">
        <v>1.57199999999999</v>
      </c>
      <c r="J220" s="1">
        <v>34.2750681454719</v>
      </c>
      <c r="K220" t="str">
        <f t="shared" si="18"/>
        <v>缺口合适</v>
      </c>
      <c r="L220" s="2">
        <f t="shared" si="19"/>
        <v>1493.5</v>
      </c>
      <c r="M220" s="2">
        <f t="shared" si="20"/>
        <v>2053.5625</v>
      </c>
      <c r="N220" s="2">
        <f t="shared" si="21"/>
        <v>531.5625</v>
      </c>
      <c r="O220" s="2">
        <f t="shared" si="22"/>
        <v>465.85</v>
      </c>
      <c r="P220" s="2">
        <f t="shared" si="23"/>
        <v>931.7</v>
      </c>
    </row>
    <row r="221" spans="1:16">
      <c r="A221" s="1">
        <v>220</v>
      </c>
      <c r="B221" s="1">
        <v>29</v>
      </c>
      <c r="C221" s="1" t="s">
        <v>16</v>
      </c>
      <c r="D221" s="1">
        <v>172</v>
      </c>
      <c r="E221" s="1">
        <v>90.4</v>
      </c>
      <c r="F221" s="1">
        <v>3189</v>
      </c>
      <c r="G221" s="1" t="s">
        <v>21</v>
      </c>
      <c r="H221" s="1">
        <v>1.725</v>
      </c>
      <c r="I221" s="1">
        <v>1.72</v>
      </c>
      <c r="J221" s="1">
        <v>30.5570578691184</v>
      </c>
      <c r="K221" t="str">
        <f t="shared" si="18"/>
        <v>没有热量缺口</v>
      </c>
      <c r="L221" s="2">
        <f t="shared" si="19"/>
        <v>1839</v>
      </c>
      <c r="M221" s="2">
        <f t="shared" si="20"/>
        <v>3172.275</v>
      </c>
      <c r="N221" s="2">
        <f t="shared" si="21"/>
        <v>-16.7249999999999</v>
      </c>
      <c r="O221" s="2">
        <f t="shared" si="22"/>
        <v>497.2</v>
      </c>
      <c r="P221" s="2">
        <f t="shared" si="23"/>
        <v>994.4</v>
      </c>
    </row>
    <row r="222" spans="1:16">
      <c r="A222" s="1">
        <v>221</v>
      </c>
      <c r="B222" s="1">
        <v>30</v>
      </c>
      <c r="C222" s="1" t="s">
        <v>18</v>
      </c>
      <c r="D222" s="1">
        <v>164.3</v>
      </c>
      <c r="E222" s="1">
        <v>71.5</v>
      </c>
      <c r="F222" s="1">
        <v>2090</v>
      </c>
      <c r="G222" s="1" t="s">
        <v>21</v>
      </c>
      <c r="H222" s="1">
        <v>1.725</v>
      </c>
      <c r="I222" s="1">
        <v>1.643</v>
      </c>
      <c r="J222" s="1">
        <v>26.4868867683738</v>
      </c>
      <c r="K222" t="str">
        <f t="shared" si="18"/>
        <v>缺口过小</v>
      </c>
      <c r="L222" s="2">
        <f t="shared" si="19"/>
        <v>1430.875</v>
      </c>
      <c r="M222" s="2">
        <f t="shared" si="20"/>
        <v>2468.259375</v>
      </c>
      <c r="N222" s="2">
        <f t="shared" si="21"/>
        <v>378.259375</v>
      </c>
      <c r="O222" s="2">
        <f t="shared" si="22"/>
        <v>393.25</v>
      </c>
      <c r="P222" s="2">
        <f t="shared" si="23"/>
        <v>786.5</v>
      </c>
    </row>
    <row r="223" spans="1:16">
      <c r="A223" s="1">
        <v>222</v>
      </c>
      <c r="B223" s="1">
        <v>29</v>
      </c>
      <c r="C223" s="1" t="s">
        <v>18</v>
      </c>
      <c r="D223" s="1">
        <v>173.6</v>
      </c>
      <c r="E223" s="1">
        <v>119.8</v>
      </c>
      <c r="F223" s="1">
        <v>2233</v>
      </c>
      <c r="G223" s="1" t="s">
        <v>17</v>
      </c>
      <c r="H223" s="1">
        <v>1.375</v>
      </c>
      <c r="I223" s="1">
        <v>1.736</v>
      </c>
      <c r="J223" s="1">
        <v>39.7518528743443</v>
      </c>
      <c r="K223" t="str">
        <f t="shared" si="18"/>
        <v>缺口过小</v>
      </c>
      <c r="L223" s="2">
        <f t="shared" si="19"/>
        <v>1977</v>
      </c>
      <c r="M223" s="2">
        <f t="shared" si="20"/>
        <v>2718.375</v>
      </c>
      <c r="N223" s="2">
        <f t="shared" si="21"/>
        <v>485.375</v>
      </c>
      <c r="O223" s="2">
        <f t="shared" si="22"/>
        <v>658.9</v>
      </c>
      <c r="P223" s="2">
        <f t="shared" si="23"/>
        <v>1317.8</v>
      </c>
    </row>
    <row r="224" spans="1:16">
      <c r="A224" s="1">
        <v>223</v>
      </c>
      <c r="B224" s="1">
        <v>21</v>
      </c>
      <c r="C224" s="1" t="s">
        <v>16</v>
      </c>
      <c r="D224" s="1">
        <v>187.1</v>
      </c>
      <c r="E224" s="1">
        <v>77.7</v>
      </c>
      <c r="F224" s="1">
        <v>2415</v>
      </c>
      <c r="G224" s="1" t="s">
        <v>19</v>
      </c>
      <c r="H224" s="1">
        <v>1.2</v>
      </c>
      <c r="I224" s="1">
        <v>1.871</v>
      </c>
      <c r="J224" s="1">
        <v>22.195934973052</v>
      </c>
      <c r="K224" t="str">
        <f t="shared" si="18"/>
        <v>没有热量缺口</v>
      </c>
      <c r="L224" s="2">
        <f t="shared" si="19"/>
        <v>1846.375</v>
      </c>
      <c r="M224" s="2">
        <f t="shared" si="20"/>
        <v>2215.65</v>
      </c>
      <c r="N224" s="2">
        <f t="shared" si="21"/>
        <v>-199.35</v>
      </c>
      <c r="O224" s="2">
        <f t="shared" si="22"/>
        <v>427.35</v>
      </c>
      <c r="P224" s="2">
        <f t="shared" si="23"/>
        <v>854.7</v>
      </c>
    </row>
    <row r="225" spans="1:16">
      <c r="A225" s="1">
        <v>224</v>
      </c>
      <c r="B225" s="1">
        <v>34</v>
      </c>
      <c r="C225" s="1" t="s">
        <v>18</v>
      </c>
      <c r="D225" s="1">
        <v>174.4</v>
      </c>
      <c r="E225" s="1">
        <v>159.6</v>
      </c>
      <c r="F225" s="1">
        <v>2775</v>
      </c>
      <c r="G225" s="1" t="s">
        <v>19</v>
      </c>
      <c r="H225" s="1">
        <v>1.2</v>
      </c>
      <c r="I225" s="1">
        <v>1.744</v>
      </c>
      <c r="J225" s="1">
        <v>52.4734870802121</v>
      </c>
      <c r="K225" t="str">
        <f t="shared" si="18"/>
        <v>缺口过小</v>
      </c>
      <c r="L225" s="2">
        <f t="shared" si="19"/>
        <v>2355</v>
      </c>
      <c r="M225" s="2">
        <f t="shared" si="20"/>
        <v>2826</v>
      </c>
      <c r="N225" s="2">
        <f t="shared" si="21"/>
        <v>51</v>
      </c>
      <c r="O225" s="2">
        <f t="shared" si="22"/>
        <v>877.8</v>
      </c>
      <c r="P225" s="2">
        <f t="shared" si="23"/>
        <v>1755.6</v>
      </c>
    </row>
    <row r="226" spans="1:16">
      <c r="A226" s="1">
        <v>225</v>
      </c>
      <c r="B226" s="1">
        <v>30</v>
      </c>
      <c r="C226" s="1" t="s">
        <v>18</v>
      </c>
      <c r="D226" s="1">
        <v>157.9</v>
      </c>
      <c r="E226" s="1">
        <v>57.1</v>
      </c>
      <c r="F226" s="1">
        <v>1542</v>
      </c>
      <c r="G226" s="1" t="s">
        <v>19</v>
      </c>
      <c r="H226" s="1">
        <v>1.2</v>
      </c>
      <c r="I226" s="1">
        <v>1.579</v>
      </c>
      <c r="J226" s="1">
        <v>22.9019176244895</v>
      </c>
      <c r="K226" t="str">
        <f t="shared" si="18"/>
        <v>没有热量缺口</v>
      </c>
      <c r="L226" s="2">
        <f t="shared" si="19"/>
        <v>1246.875</v>
      </c>
      <c r="M226" s="2">
        <f t="shared" si="20"/>
        <v>1496.25</v>
      </c>
      <c r="N226" s="2">
        <f t="shared" si="21"/>
        <v>-45.75</v>
      </c>
      <c r="O226" s="2">
        <f t="shared" si="22"/>
        <v>314.05</v>
      </c>
      <c r="P226" s="2">
        <f t="shared" si="23"/>
        <v>628.1</v>
      </c>
    </row>
    <row r="227" spans="1:16">
      <c r="A227" s="1">
        <v>226</v>
      </c>
      <c r="B227" s="1">
        <v>28</v>
      </c>
      <c r="C227" s="1" t="s">
        <v>18</v>
      </c>
      <c r="D227" s="1">
        <v>170</v>
      </c>
      <c r="E227" s="1">
        <v>62.6</v>
      </c>
      <c r="F227" s="1">
        <v>1867</v>
      </c>
      <c r="G227" s="1" t="s">
        <v>21</v>
      </c>
      <c r="H227" s="1">
        <v>1.725</v>
      </c>
      <c r="I227" s="1">
        <v>1.7</v>
      </c>
      <c r="J227" s="1">
        <v>21.6608996539792</v>
      </c>
      <c r="K227" t="str">
        <f t="shared" si="18"/>
        <v>缺口合适</v>
      </c>
      <c r="L227" s="2">
        <f t="shared" si="19"/>
        <v>1387.5</v>
      </c>
      <c r="M227" s="2">
        <f t="shared" si="20"/>
        <v>2393.4375</v>
      </c>
      <c r="N227" s="2">
        <f t="shared" si="21"/>
        <v>526.4375</v>
      </c>
      <c r="O227" s="2">
        <f t="shared" si="22"/>
        <v>344.3</v>
      </c>
      <c r="P227" s="2">
        <f t="shared" si="23"/>
        <v>688.6</v>
      </c>
    </row>
    <row r="228" spans="1:16">
      <c r="A228" s="1">
        <v>227</v>
      </c>
      <c r="B228" s="1">
        <v>33</v>
      </c>
      <c r="C228" s="1" t="s">
        <v>16</v>
      </c>
      <c r="D228" s="1">
        <v>181.4</v>
      </c>
      <c r="E228" s="1">
        <v>95</v>
      </c>
      <c r="F228" s="1">
        <v>1836</v>
      </c>
      <c r="G228" s="1" t="s">
        <v>17</v>
      </c>
      <c r="H228" s="1">
        <v>1.375</v>
      </c>
      <c r="I228" s="1">
        <v>1.814</v>
      </c>
      <c r="J228" s="1">
        <v>28.8701499667537</v>
      </c>
      <c r="K228" t="str">
        <f t="shared" si="18"/>
        <v>缺口合适</v>
      </c>
      <c r="L228" s="2">
        <f t="shared" si="19"/>
        <v>1923.75</v>
      </c>
      <c r="M228" s="2">
        <f t="shared" si="20"/>
        <v>2645.15625</v>
      </c>
      <c r="N228" s="2">
        <f t="shared" si="21"/>
        <v>809.15625</v>
      </c>
      <c r="O228" s="2">
        <f t="shared" si="22"/>
        <v>522.5</v>
      </c>
      <c r="P228" s="2">
        <f t="shared" si="23"/>
        <v>1045</v>
      </c>
    </row>
    <row r="229" spans="1:16">
      <c r="A229" s="1">
        <v>228</v>
      </c>
      <c r="B229" s="1">
        <v>21</v>
      </c>
      <c r="C229" s="1" t="s">
        <v>16</v>
      </c>
      <c r="D229" s="1">
        <v>187.4</v>
      </c>
      <c r="E229" s="1">
        <v>75.2</v>
      </c>
      <c r="F229" s="1">
        <v>2633</v>
      </c>
      <c r="G229" s="1" t="s">
        <v>21</v>
      </c>
      <c r="H229" s="1">
        <v>1.725</v>
      </c>
      <c r="I229" s="1">
        <v>1.874</v>
      </c>
      <c r="J229" s="1">
        <v>21.4130567252374</v>
      </c>
      <c r="K229" t="str">
        <f t="shared" si="18"/>
        <v>缺口合适</v>
      </c>
      <c r="L229" s="2">
        <f t="shared" si="19"/>
        <v>1823.25</v>
      </c>
      <c r="M229" s="2">
        <f t="shared" si="20"/>
        <v>3145.10625</v>
      </c>
      <c r="N229" s="2">
        <f t="shared" si="21"/>
        <v>512.10625</v>
      </c>
      <c r="O229" s="2">
        <f t="shared" si="22"/>
        <v>413.6</v>
      </c>
      <c r="P229" s="2">
        <f t="shared" si="23"/>
        <v>827.2</v>
      </c>
    </row>
    <row r="230" spans="1:16">
      <c r="A230" s="1">
        <v>229</v>
      </c>
      <c r="B230" s="1">
        <v>28</v>
      </c>
      <c r="C230" s="1" t="s">
        <v>18</v>
      </c>
      <c r="D230" s="1">
        <v>159.7</v>
      </c>
      <c r="E230" s="1">
        <v>56.5</v>
      </c>
      <c r="F230" s="1">
        <v>1735</v>
      </c>
      <c r="G230" s="1" t="s">
        <v>17</v>
      </c>
      <c r="H230" s="1">
        <v>1.375</v>
      </c>
      <c r="I230" s="1">
        <v>1.597</v>
      </c>
      <c r="J230" s="1">
        <v>22.1533095280012</v>
      </c>
      <c r="K230" t="str">
        <f t="shared" si="18"/>
        <v>缺口过小</v>
      </c>
      <c r="L230" s="2">
        <f t="shared" si="19"/>
        <v>1262.125</v>
      </c>
      <c r="M230" s="2">
        <f t="shared" si="20"/>
        <v>1735.421875</v>
      </c>
      <c r="N230" s="2">
        <f t="shared" si="21"/>
        <v>0.421875</v>
      </c>
      <c r="O230" s="2">
        <f t="shared" si="22"/>
        <v>310.75</v>
      </c>
      <c r="P230" s="2">
        <f t="shared" si="23"/>
        <v>621.5</v>
      </c>
    </row>
    <row r="231" spans="1:16">
      <c r="A231" s="1">
        <v>230</v>
      </c>
      <c r="B231" s="1">
        <v>35</v>
      </c>
      <c r="C231" s="1" t="s">
        <v>16</v>
      </c>
      <c r="D231" s="1">
        <v>175</v>
      </c>
      <c r="E231" s="1">
        <v>85</v>
      </c>
      <c r="F231" s="1">
        <v>1791</v>
      </c>
      <c r="G231" s="1" t="s">
        <v>19</v>
      </c>
      <c r="H231" s="1">
        <v>1.2</v>
      </c>
      <c r="I231" s="1">
        <v>1.75</v>
      </c>
      <c r="J231" s="1">
        <v>27.7551020408163</v>
      </c>
      <c r="K231" t="str">
        <f t="shared" si="18"/>
        <v>缺口过小</v>
      </c>
      <c r="L231" s="2">
        <f t="shared" si="19"/>
        <v>1773.75</v>
      </c>
      <c r="M231" s="2">
        <f t="shared" si="20"/>
        <v>2128.5</v>
      </c>
      <c r="N231" s="2">
        <f t="shared" si="21"/>
        <v>337.5</v>
      </c>
      <c r="O231" s="2">
        <f t="shared" si="22"/>
        <v>467.5</v>
      </c>
      <c r="P231" s="2">
        <f t="shared" si="23"/>
        <v>935</v>
      </c>
    </row>
    <row r="232" spans="1:16">
      <c r="A232" s="1">
        <v>231</v>
      </c>
      <c r="B232" s="1">
        <v>27</v>
      </c>
      <c r="C232" s="1" t="s">
        <v>16</v>
      </c>
      <c r="D232" s="1">
        <v>174.7</v>
      </c>
      <c r="E232" s="1">
        <v>67.3</v>
      </c>
      <c r="F232" s="1">
        <v>1999</v>
      </c>
      <c r="G232" s="1" t="s">
        <v>17</v>
      </c>
      <c r="H232" s="1">
        <v>1.375</v>
      </c>
      <c r="I232" s="1">
        <v>1.74699999999999</v>
      </c>
      <c r="J232" s="1">
        <v>22.0510489975619</v>
      </c>
      <c r="K232" t="str">
        <f t="shared" si="18"/>
        <v>缺口过小</v>
      </c>
      <c r="L232" s="2">
        <f t="shared" si="19"/>
        <v>1634.875</v>
      </c>
      <c r="M232" s="2">
        <f t="shared" si="20"/>
        <v>2247.953125</v>
      </c>
      <c r="N232" s="2">
        <f t="shared" si="21"/>
        <v>248.953125</v>
      </c>
      <c r="O232" s="2">
        <f t="shared" si="22"/>
        <v>370.15</v>
      </c>
      <c r="P232" s="2">
        <f t="shared" si="23"/>
        <v>740.3</v>
      </c>
    </row>
    <row r="233" spans="1:16">
      <c r="A233" s="1">
        <v>232</v>
      </c>
      <c r="B233" s="1">
        <v>27</v>
      </c>
      <c r="C233" s="1" t="s">
        <v>18</v>
      </c>
      <c r="D233" s="1">
        <v>158.5</v>
      </c>
      <c r="E233" s="1">
        <v>98.3</v>
      </c>
      <c r="F233" s="1">
        <v>2152</v>
      </c>
      <c r="G233" s="1" t="s">
        <v>17</v>
      </c>
      <c r="H233" s="1">
        <v>1.375</v>
      </c>
      <c r="I233" s="1">
        <v>1.585</v>
      </c>
      <c r="J233" s="1">
        <v>39.128660848451</v>
      </c>
      <c r="K233" t="str">
        <f t="shared" si="18"/>
        <v>缺口过小</v>
      </c>
      <c r="L233" s="2">
        <f t="shared" si="19"/>
        <v>1677.625</v>
      </c>
      <c r="M233" s="2">
        <f t="shared" si="20"/>
        <v>2306.734375</v>
      </c>
      <c r="N233" s="2">
        <f t="shared" si="21"/>
        <v>154.734375</v>
      </c>
      <c r="O233" s="2">
        <f t="shared" si="22"/>
        <v>540.65</v>
      </c>
      <c r="P233" s="2">
        <f t="shared" si="23"/>
        <v>1081.3</v>
      </c>
    </row>
    <row r="234" spans="1:16">
      <c r="A234" s="1">
        <v>233</v>
      </c>
      <c r="B234" s="1">
        <v>22</v>
      </c>
      <c r="C234" s="1" t="s">
        <v>18</v>
      </c>
      <c r="D234" s="1">
        <v>162.7</v>
      </c>
      <c r="E234" s="1">
        <v>72.6</v>
      </c>
      <c r="F234" s="1">
        <v>1465</v>
      </c>
      <c r="G234" s="1" t="s">
        <v>17</v>
      </c>
      <c r="H234" s="1">
        <v>1.375</v>
      </c>
      <c r="I234" s="1">
        <v>1.62699999999999</v>
      </c>
      <c r="J234" s="1">
        <v>27.4259395745352</v>
      </c>
      <c r="K234" t="str">
        <f t="shared" si="18"/>
        <v>缺口合适</v>
      </c>
      <c r="L234" s="2">
        <f t="shared" si="19"/>
        <v>1471.875</v>
      </c>
      <c r="M234" s="2">
        <f t="shared" si="20"/>
        <v>2023.828125</v>
      </c>
      <c r="N234" s="2">
        <f t="shared" si="21"/>
        <v>558.828125</v>
      </c>
      <c r="O234" s="2">
        <f t="shared" si="22"/>
        <v>399.3</v>
      </c>
      <c r="P234" s="2">
        <f t="shared" si="23"/>
        <v>798.6</v>
      </c>
    </row>
    <row r="235" spans="1:16">
      <c r="A235" s="1">
        <v>234</v>
      </c>
      <c r="B235" s="1">
        <v>31</v>
      </c>
      <c r="C235" s="1" t="s">
        <v>18</v>
      </c>
      <c r="D235" s="1">
        <v>149.7</v>
      </c>
      <c r="E235" s="1">
        <v>63.5</v>
      </c>
      <c r="F235" s="1">
        <v>3193</v>
      </c>
      <c r="G235" s="1" t="s">
        <v>17</v>
      </c>
      <c r="H235" s="1">
        <v>1.375</v>
      </c>
      <c r="I235" s="1">
        <v>1.49699999999999</v>
      </c>
      <c r="J235" s="1">
        <v>28.3354506831521</v>
      </c>
      <c r="K235" t="str">
        <f t="shared" si="18"/>
        <v>没有热量缺口</v>
      </c>
      <c r="L235" s="2">
        <f t="shared" si="19"/>
        <v>1254.625</v>
      </c>
      <c r="M235" s="2">
        <f t="shared" si="20"/>
        <v>1725.109375</v>
      </c>
      <c r="N235" s="2">
        <f t="shared" si="21"/>
        <v>-1467.890625</v>
      </c>
      <c r="O235" s="2">
        <f t="shared" si="22"/>
        <v>349.25</v>
      </c>
      <c r="P235" s="2">
        <f t="shared" si="23"/>
        <v>698.5</v>
      </c>
    </row>
    <row r="236" spans="1:16">
      <c r="A236" s="1">
        <v>235</v>
      </c>
      <c r="B236" s="1">
        <v>31</v>
      </c>
      <c r="C236" s="1" t="s">
        <v>16</v>
      </c>
      <c r="D236" s="1">
        <v>167.2</v>
      </c>
      <c r="E236" s="1">
        <v>82.5</v>
      </c>
      <c r="F236" s="1">
        <v>1558</v>
      </c>
      <c r="G236" s="1" t="s">
        <v>19</v>
      </c>
      <c r="H236" s="1">
        <v>1.2</v>
      </c>
      <c r="I236" s="1">
        <v>1.672</v>
      </c>
      <c r="J236" s="1">
        <v>29.5108285066733</v>
      </c>
      <c r="K236" t="str">
        <f t="shared" si="18"/>
        <v>缺口合适</v>
      </c>
      <c r="L236" s="2">
        <f t="shared" si="19"/>
        <v>1720</v>
      </c>
      <c r="M236" s="2">
        <f t="shared" si="20"/>
        <v>2064</v>
      </c>
      <c r="N236" s="2">
        <f t="shared" si="21"/>
        <v>506</v>
      </c>
      <c r="O236" s="2">
        <f t="shared" si="22"/>
        <v>453.75</v>
      </c>
      <c r="P236" s="2">
        <f t="shared" si="23"/>
        <v>907.5</v>
      </c>
    </row>
    <row r="237" spans="1:16">
      <c r="A237" s="1">
        <v>236</v>
      </c>
      <c r="B237" s="1">
        <v>31</v>
      </c>
      <c r="C237" s="1" t="s">
        <v>16</v>
      </c>
      <c r="D237" s="1">
        <v>183.7</v>
      </c>
      <c r="E237" s="1">
        <v>119.5</v>
      </c>
      <c r="F237" s="1">
        <v>2430</v>
      </c>
      <c r="G237" s="1" t="s">
        <v>21</v>
      </c>
      <c r="H237" s="1">
        <v>1.725</v>
      </c>
      <c r="I237" s="1">
        <v>1.837</v>
      </c>
      <c r="J237" s="1">
        <v>35.4119296419779</v>
      </c>
      <c r="K237" t="str">
        <f t="shared" si="18"/>
        <v>缺口过大</v>
      </c>
      <c r="L237" s="2">
        <f t="shared" si="19"/>
        <v>2193.125</v>
      </c>
      <c r="M237" s="2">
        <f t="shared" si="20"/>
        <v>3783.140625</v>
      </c>
      <c r="N237" s="2">
        <f t="shared" si="21"/>
        <v>1353.140625</v>
      </c>
      <c r="O237" s="2">
        <f t="shared" si="22"/>
        <v>657.25</v>
      </c>
      <c r="P237" s="2">
        <f t="shared" si="23"/>
        <v>1314.5</v>
      </c>
    </row>
    <row r="238" spans="1:16">
      <c r="A238" s="1">
        <v>237</v>
      </c>
      <c r="B238" s="1">
        <v>25</v>
      </c>
      <c r="C238" s="1" t="s">
        <v>16</v>
      </c>
      <c r="D238" s="1">
        <v>168.8</v>
      </c>
      <c r="E238" s="1">
        <v>59.5</v>
      </c>
      <c r="F238" s="1">
        <v>1128</v>
      </c>
      <c r="G238" s="1" t="s">
        <v>17</v>
      </c>
      <c r="H238" s="1">
        <v>1.375</v>
      </c>
      <c r="I238" s="1">
        <v>1.688</v>
      </c>
      <c r="J238" s="1">
        <v>20.8819995058511</v>
      </c>
      <c r="K238" t="str">
        <f t="shared" si="18"/>
        <v>缺口过大</v>
      </c>
      <c r="L238" s="2">
        <f t="shared" si="19"/>
        <v>1530</v>
      </c>
      <c r="M238" s="2">
        <f t="shared" si="20"/>
        <v>2103.75</v>
      </c>
      <c r="N238" s="2">
        <f t="shared" si="21"/>
        <v>975.75</v>
      </c>
      <c r="O238" s="2">
        <f t="shared" si="22"/>
        <v>327.25</v>
      </c>
      <c r="P238" s="2">
        <f t="shared" si="23"/>
        <v>654.5</v>
      </c>
    </row>
    <row r="239" spans="1:16">
      <c r="A239" s="1">
        <v>238</v>
      </c>
      <c r="B239" s="1">
        <v>34</v>
      </c>
      <c r="C239" s="1" t="s">
        <v>18</v>
      </c>
      <c r="D239" s="1">
        <v>156.7</v>
      </c>
      <c r="E239" s="1">
        <v>97.9</v>
      </c>
      <c r="F239" s="1">
        <v>1582</v>
      </c>
      <c r="G239" s="1" t="s">
        <v>17</v>
      </c>
      <c r="H239" s="1">
        <v>1.375</v>
      </c>
      <c r="I239" s="1">
        <v>1.567</v>
      </c>
      <c r="J239" s="1">
        <v>39.8698589160855</v>
      </c>
      <c r="K239" t="str">
        <f t="shared" si="18"/>
        <v>缺口合适</v>
      </c>
      <c r="L239" s="2">
        <f t="shared" si="19"/>
        <v>1627.375</v>
      </c>
      <c r="M239" s="2">
        <f t="shared" si="20"/>
        <v>2237.640625</v>
      </c>
      <c r="N239" s="2">
        <f t="shared" si="21"/>
        <v>655.640625</v>
      </c>
      <c r="O239" s="2">
        <f t="shared" si="22"/>
        <v>538.45</v>
      </c>
      <c r="P239" s="2">
        <f t="shared" si="23"/>
        <v>1076.9</v>
      </c>
    </row>
    <row r="240" spans="1:16">
      <c r="A240" s="1">
        <v>239</v>
      </c>
      <c r="B240" s="1">
        <v>23</v>
      </c>
      <c r="C240" s="1" t="s">
        <v>16</v>
      </c>
      <c r="D240" s="1">
        <v>181.5</v>
      </c>
      <c r="E240" s="1">
        <v>130.3</v>
      </c>
      <c r="F240" s="1">
        <v>887</v>
      </c>
      <c r="G240" s="1" t="s">
        <v>21</v>
      </c>
      <c r="H240" s="1">
        <v>1.725</v>
      </c>
      <c r="I240" s="1">
        <v>1.815</v>
      </c>
      <c r="J240" s="1">
        <v>39.5540681040305</v>
      </c>
      <c r="K240" t="str">
        <f t="shared" si="18"/>
        <v>缺口过大</v>
      </c>
      <c r="L240" s="2">
        <f t="shared" si="19"/>
        <v>2327.375</v>
      </c>
      <c r="M240" s="2">
        <f t="shared" si="20"/>
        <v>4014.721875</v>
      </c>
      <c r="N240" s="2">
        <f t="shared" si="21"/>
        <v>3127.721875</v>
      </c>
      <c r="O240" s="2">
        <f t="shared" si="22"/>
        <v>716.65</v>
      </c>
      <c r="P240" s="2">
        <f t="shared" si="23"/>
        <v>1433.3</v>
      </c>
    </row>
    <row r="241" spans="1:16">
      <c r="A241" s="1">
        <v>240</v>
      </c>
      <c r="B241" s="1">
        <v>21</v>
      </c>
      <c r="C241" s="1" t="s">
        <v>18</v>
      </c>
      <c r="D241" s="1">
        <v>162.8</v>
      </c>
      <c r="E241" s="1">
        <v>114.3</v>
      </c>
      <c r="F241" s="1">
        <v>1661</v>
      </c>
      <c r="G241" s="1" t="s">
        <v>17</v>
      </c>
      <c r="H241" s="1">
        <v>1.375</v>
      </c>
      <c r="I241" s="1">
        <v>1.628</v>
      </c>
      <c r="J241" s="1">
        <v>43.1258262953594</v>
      </c>
      <c r="K241" t="str">
        <f t="shared" si="18"/>
        <v>缺口合适</v>
      </c>
      <c r="L241" s="2">
        <f t="shared" si="19"/>
        <v>1894.5</v>
      </c>
      <c r="M241" s="2">
        <f t="shared" si="20"/>
        <v>2604.9375</v>
      </c>
      <c r="N241" s="2">
        <f t="shared" si="21"/>
        <v>943.9375</v>
      </c>
      <c r="O241" s="2">
        <f t="shared" si="22"/>
        <v>628.65</v>
      </c>
      <c r="P241" s="2">
        <f t="shared" si="23"/>
        <v>1257.3</v>
      </c>
    </row>
    <row r="242" spans="1:16">
      <c r="A242" s="1">
        <v>241</v>
      </c>
      <c r="B242" s="1">
        <v>29</v>
      </c>
      <c r="C242" s="1" t="s">
        <v>16</v>
      </c>
      <c r="D242" s="1">
        <v>176.8</v>
      </c>
      <c r="E242" s="1">
        <v>97.3</v>
      </c>
      <c r="F242" s="1">
        <v>2273</v>
      </c>
      <c r="G242" s="1" t="s">
        <v>21</v>
      </c>
      <c r="H242" s="1">
        <v>1.725</v>
      </c>
      <c r="I242" s="1">
        <v>1.768</v>
      </c>
      <c r="J242" s="1">
        <v>31.1277922237464</v>
      </c>
      <c r="K242" t="str">
        <f t="shared" si="18"/>
        <v>缺口合适</v>
      </c>
      <c r="L242" s="2">
        <f t="shared" si="19"/>
        <v>1938</v>
      </c>
      <c r="M242" s="2">
        <f t="shared" si="20"/>
        <v>3343.05</v>
      </c>
      <c r="N242" s="2">
        <f t="shared" si="21"/>
        <v>1070.05</v>
      </c>
      <c r="O242" s="2">
        <f t="shared" si="22"/>
        <v>535.15</v>
      </c>
      <c r="P242" s="2">
        <f t="shared" si="23"/>
        <v>1070.3</v>
      </c>
    </row>
    <row r="243" spans="1:16">
      <c r="A243" s="1">
        <v>242</v>
      </c>
      <c r="B243" s="1">
        <v>20</v>
      </c>
      <c r="C243" s="1" t="s">
        <v>16</v>
      </c>
      <c r="D243" s="1">
        <v>177.1</v>
      </c>
      <c r="E243" s="1">
        <v>67.4</v>
      </c>
      <c r="F243" s="1">
        <v>1081</v>
      </c>
      <c r="G243" s="1" t="s">
        <v>21</v>
      </c>
      <c r="H243" s="1">
        <v>1.725</v>
      </c>
      <c r="I243" s="1">
        <v>1.771</v>
      </c>
      <c r="J243" s="1">
        <v>21.489325002447</v>
      </c>
      <c r="K243" t="str">
        <f t="shared" si="18"/>
        <v>缺口过大</v>
      </c>
      <c r="L243" s="2">
        <f t="shared" si="19"/>
        <v>1685.875</v>
      </c>
      <c r="M243" s="2">
        <f t="shared" si="20"/>
        <v>2908.134375</v>
      </c>
      <c r="N243" s="2">
        <f t="shared" si="21"/>
        <v>1827.134375</v>
      </c>
      <c r="O243" s="2">
        <f t="shared" si="22"/>
        <v>370.7</v>
      </c>
      <c r="P243" s="2">
        <f t="shared" si="23"/>
        <v>741.4</v>
      </c>
    </row>
    <row r="244" spans="1:16">
      <c r="A244" s="1">
        <v>243</v>
      </c>
      <c r="B244" s="1">
        <v>35</v>
      </c>
      <c r="C244" s="1" t="s">
        <v>18</v>
      </c>
      <c r="D244" s="1">
        <v>160.3</v>
      </c>
      <c r="E244" s="1">
        <v>77.8</v>
      </c>
      <c r="F244" s="1">
        <v>1903</v>
      </c>
      <c r="G244" s="1" t="s">
        <v>17</v>
      </c>
      <c r="H244" s="1">
        <v>1.375</v>
      </c>
      <c r="I244" s="1">
        <v>1.603</v>
      </c>
      <c r="J244" s="1">
        <v>30.2769798829315</v>
      </c>
      <c r="K244" t="str">
        <f t="shared" si="18"/>
        <v>缺口过小</v>
      </c>
      <c r="L244" s="2">
        <f t="shared" si="19"/>
        <v>1443.875</v>
      </c>
      <c r="M244" s="2">
        <f t="shared" si="20"/>
        <v>1985.328125</v>
      </c>
      <c r="N244" s="2">
        <f t="shared" si="21"/>
        <v>82.328125</v>
      </c>
      <c r="O244" s="2">
        <f t="shared" si="22"/>
        <v>427.9</v>
      </c>
      <c r="P244" s="2">
        <f t="shared" si="23"/>
        <v>855.8</v>
      </c>
    </row>
    <row r="245" spans="1:16">
      <c r="A245" s="1">
        <v>244</v>
      </c>
      <c r="B245" s="1">
        <v>34</v>
      </c>
      <c r="C245" s="1" t="s">
        <v>16</v>
      </c>
      <c r="D245" s="1">
        <v>182.4</v>
      </c>
      <c r="E245" s="1">
        <v>59.7</v>
      </c>
      <c r="F245" s="1">
        <v>2656</v>
      </c>
      <c r="G245" s="1" t="s">
        <v>17</v>
      </c>
      <c r="H245" s="1">
        <v>1.375</v>
      </c>
      <c r="I245" s="1">
        <v>1.824</v>
      </c>
      <c r="J245" s="1">
        <v>17.94422322253</v>
      </c>
      <c r="K245" t="str">
        <f t="shared" si="18"/>
        <v>没有热量缺口</v>
      </c>
      <c r="L245" s="2">
        <f t="shared" si="19"/>
        <v>1572</v>
      </c>
      <c r="M245" s="2">
        <f t="shared" si="20"/>
        <v>2161.5</v>
      </c>
      <c r="N245" s="2">
        <f t="shared" si="21"/>
        <v>-494.5</v>
      </c>
      <c r="O245" s="2">
        <f t="shared" si="22"/>
        <v>328.35</v>
      </c>
      <c r="P245" s="2">
        <f t="shared" si="23"/>
        <v>656.7</v>
      </c>
    </row>
    <row r="246" spans="1:16">
      <c r="A246" s="1">
        <v>245</v>
      </c>
      <c r="B246" s="1">
        <v>34</v>
      </c>
      <c r="C246" s="1" t="s">
        <v>18</v>
      </c>
      <c r="D246" s="1">
        <v>177</v>
      </c>
      <c r="E246" s="1">
        <v>69.3</v>
      </c>
      <c r="F246" s="1">
        <v>2281</v>
      </c>
      <c r="G246" s="1" t="s">
        <v>17</v>
      </c>
      <c r="H246" s="1">
        <v>1.375</v>
      </c>
      <c r="I246" s="1">
        <v>1.77</v>
      </c>
      <c r="J246" s="1">
        <v>22.1200804366561</v>
      </c>
      <c r="K246" t="str">
        <f t="shared" si="18"/>
        <v>没有热量缺口</v>
      </c>
      <c r="L246" s="2">
        <f t="shared" si="19"/>
        <v>1468.25</v>
      </c>
      <c r="M246" s="2">
        <f t="shared" si="20"/>
        <v>2018.84375</v>
      </c>
      <c r="N246" s="2">
        <f t="shared" si="21"/>
        <v>-262.15625</v>
      </c>
      <c r="O246" s="2">
        <f t="shared" si="22"/>
        <v>381.15</v>
      </c>
      <c r="P246" s="2">
        <f t="shared" si="23"/>
        <v>762.3</v>
      </c>
    </row>
    <row r="247" spans="1:16">
      <c r="A247" s="1">
        <v>246</v>
      </c>
      <c r="B247" s="1">
        <v>22</v>
      </c>
      <c r="C247" s="1" t="s">
        <v>18</v>
      </c>
      <c r="D247" s="1">
        <v>167.6</v>
      </c>
      <c r="E247" s="1">
        <v>64.4</v>
      </c>
      <c r="F247" s="1">
        <v>1575</v>
      </c>
      <c r="G247" s="1" t="s">
        <v>20</v>
      </c>
      <c r="H247" s="1">
        <v>1.55</v>
      </c>
      <c r="I247" s="1">
        <v>1.676</v>
      </c>
      <c r="J247" s="1">
        <v>22.9265041780349</v>
      </c>
      <c r="K247" t="str">
        <f t="shared" si="18"/>
        <v>缺口合适</v>
      </c>
      <c r="L247" s="2">
        <f t="shared" si="19"/>
        <v>1420.5</v>
      </c>
      <c r="M247" s="2">
        <f t="shared" si="20"/>
        <v>2201.775</v>
      </c>
      <c r="N247" s="2">
        <f t="shared" si="21"/>
        <v>626.775</v>
      </c>
      <c r="O247" s="2">
        <f t="shared" si="22"/>
        <v>354.2</v>
      </c>
      <c r="P247" s="2">
        <f t="shared" si="23"/>
        <v>708.4</v>
      </c>
    </row>
    <row r="248" spans="1:16">
      <c r="A248" s="1">
        <v>247</v>
      </c>
      <c r="B248" s="1">
        <v>23</v>
      </c>
      <c r="C248" s="1" t="s">
        <v>18</v>
      </c>
      <c r="D248" s="1">
        <v>159.2</v>
      </c>
      <c r="E248" s="1">
        <v>59.5</v>
      </c>
      <c r="F248" s="3">
        <v>5.39760534693402e-79</v>
      </c>
      <c r="G248" s="1" t="s">
        <v>19</v>
      </c>
      <c r="H248" s="1">
        <v>1.2</v>
      </c>
      <c r="I248" s="1">
        <v>1.59199999999999</v>
      </c>
      <c r="J248" s="1">
        <v>23.4763642332264</v>
      </c>
      <c r="K248" t="str">
        <f t="shared" si="18"/>
        <v>缺口过大</v>
      </c>
      <c r="L248" s="2">
        <f t="shared" si="19"/>
        <v>1314</v>
      </c>
      <c r="M248" s="2">
        <f t="shared" si="20"/>
        <v>1576.8</v>
      </c>
      <c r="N248" s="2">
        <f t="shared" si="21"/>
        <v>1576.8</v>
      </c>
      <c r="O248" s="2">
        <f t="shared" si="22"/>
        <v>327.25</v>
      </c>
      <c r="P248" s="2">
        <f t="shared" si="23"/>
        <v>654.5</v>
      </c>
    </row>
    <row r="249" spans="1:16">
      <c r="A249" s="1">
        <v>248</v>
      </c>
      <c r="B249" s="1">
        <v>23</v>
      </c>
      <c r="C249" s="1" t="s">
        <v>18</v>
      </c>
      <c r="D249" s="1">
        <v>171.8</v>
      </c>
      <c r="E249" s="1">
        <v>77.6</v>
      </c>
      <c r="F249" s="1">
        <v>2066</v>
      </c>
      <c r="G249" s="1" t="s">
        <v>21</v>
      </c>
      <c r="H249" s="1">
        <v>1.725</v>
      </c>
      <c r="I249" s="1">
        <v>1.718</v>
      </c>
      <c r="J249" s="1">
        <v>26.2915022883093</v>
      </c>
      <c r="K249" t="str">
        <f t="shared" si="18"/>
        <v>缺口合适</v>
      </c>
      <c r="L249" s="2">
        <f t="shared" si="19"/>
        <v>1573.75</v>
      </c>
      <c r="M249" s="2">
        <f t="shared" si="20"/>
        <v>2714.71875</v>
      </c>
      <c r="N249" s="2">
        <f t="shared" si="21"/>
        <v>648.71875</v>
      </c>
      <c r="O249" s="2">
        <f t="shared" si="22"/>
        <v>426.8</v>
      </c>
      <c r="P249" s="2">
        <f t="shared" si="23"/>
        <v>853.6</v>
      </c>
    </row>
    <row r="250" spans="1:16">
      <c r="A250" s="1">
        <v>249</v>
      </c>
      <c r="B250" s="1">
        <v>23</v>
      </c>
      <c r="C250" s="1" t="s">
        <v>18</v>
      </c>
      <c r="D250" s="1">
        <v>165.7</v>
      </c>
      <c r="E250" s="1">
        <v>63.7</v>
      </c>
      <c r="F250" s="1">
        <v>3436</v>
      </c>
      <c r="G250" s="1" t="s">
        <v>19</v>
      </c>
      <c r="H250" s="1">
        <v>1.2</v>
      </c>
      <c r="I250" s="1">
        <v>1.65699999999999</v>
      </c>
      <c r="J250" s="1">
        <v>23.2003435253377</v>
      </c>
      <c r="K250" t="str">
        <f t="shared" si="18"/>
        <v>没有热量缺口</v>
      </c>
      <c r="L250" s="2">
        <f t="shared" si="19"/>
        <v>1396.625</v>
      </c>
      <c r="M250" s="2">
        <f t="shared" si="20"/>
        <v>1675.95</v>
      </c>
      <c r="N250" s="2">
        <f t="shared" si="21"/>
        <v>-1760.05</v>
      </c>
      <c r="O250" s="2">
        <f t="shared" si="22"/>
        <v>350.35</v>
      </c>
      <c r="P250" s="2">
        <f t="shared" si="23"/>
        <v>700.7</v>
      </c>
    </row>
    <row r="251" spans="1:16">
      <c r="A251" s="1">
        <v>250</v>
      </c>
      <c r="B251" s="1">
        <v>22</v>
      </c>
      <c r="C251" s="1" t="s">
        <v>16</v>
      </c>
      <c r="D251" s="1">
        <v>176.9</v>
      </c>
      <c r="E251" s="1">
        <v>94.4</v>
      </c>
      <c r="F251" s="1">
        <v>1478</v>
      </c>
      <c r="G251" s="1" t="s">
        <v>20</v>
      </c>
      <c r="H251" s="1">
        <v>1.55</v>
      </c>
      <c r="I251" s="1">
        <v>1.769</v>
      </c>
      <c r="J251" s="1">
        <v>30.165902879214</v>
      </c>
      <c r="K251" t="str">
        <f t="shared" si="18"/>
        <v>缺口过大</v>
      </c>
      <c r="L251" s="2">
        <f t="shared" si="19"/>
        <v>1944.625</v>
      </c>
      <c r="M251" s="2">
        <f t="shared" si="20"/>
        <v>3014.16875</v>
      </c>
      <c r="N251" s="2">
        <f t="shared" si="21"/>
        <v>1536.16875</v>
      </c>
      <c r="O251" s="2">
        <f t="shared" si="22"/>
        <v>519.2</v>
      </c>
      <c r="P251" s="2">
        <f t="shared" si="23"/>
        <v>1038.4</v>
      </c>
    </row>
    <row r="252" spans="1:16">
      <c r="A252" s="1">
        <v>251</v>
      </c>
      <c r="B252" s="1">
        <v>34</v>
      </c>
      <c r="C252" s="1" t="s">
        <v>18</v>
      </c>
      <c r="D252" s="1">
        <v>151.3</v>
      </c>
      <c r="E252" s="1">
        <v>63.7</v>
      </c>
      <c r="F252" s="1">
        <v>1906</v>
      </c>
      <c r="G252" s="1" t="s">
        <v>17</v>
      </c>
      <c r="H252" s="1">
        <v>1.375</v>
      </c>
      <c r="I252" s="1">
        <v>1.513</v>
      </c>
      <c r="J252" s="1">
        <v>27.8266916946717</v>
      </c>
      <c r="K252" t="str">
        <f t="shared" si="18"/>
        <v>没有热量缺口</v>
      </c>
      <c r="L252" s="2">
        <f t="shared" si="19"/>
        <v>1251.625</v>
      </c>
      <c r="M252" s="2">
        <f t="shared" si="20"/>
        <v>1720.984375</v>
      </c>
      <c r="N252" s="2">
        <f t="shared" si="21"/>
        <v>-185.015625</v>
      </c>
      <c r="O252" s="2">
        <f t="shared" si="22"/>
        <v>350.35</v>
      </c>
      <c r="P252" s="2">
        <f t="shared" si="23"/>
        <v>700.7</v>
      </c>
    </row>
    <row r="253" spans="1:16">
      <c r="A253" s="1">
        <v>252</v>
      </c>
      <c r="B253" s="1">
        <v>29</v>
      </c>
      <c r="C253" s="1" t="s">
        <v>18</v>
      </c>
      <c r="D253" s="1">
        <v>155.9</v>
      </c>
      <c r="E253" s="1">
        <v>45.1</v>
      </c>
      <c r="F253" s="1">
        <v>2082</v>
      </c>
      <c r="G253" s="1" t="s">
        <v>19</v>
      </c>
      <c r="H253" s="1">
        <v>1.2</v>
      </c>
      <c r="I253" s="1">
        <v>1.559</v>
      </c>
      <c r="J253" s="1">
        <v>18.5559977634056</v>
      </c>
      <c r="K253" t="str">
        <f t="shared" si="18"/>
        <v>没有热量缺口</v>
      </c>
      <c r="L253" s="2">
        <f t="shared" si="19"/>
        <v>1119.375</v>
      </c>
      <c r="M253" s="2">
        <f t="shared" si="20"/>
        <v>1343.25</v>
      </c>
      <c r="N253" s="2">
        <f t="shared" si="21"/>
        <v>-738.75</v>
      </c>
      <c r="O253" s="2">
        <f t="shared" si="22"/>
        <v>248.05</v>
      </c>
      <c r="P253" s="2">
        <f t="shared" si="23"/>
        <v>496.1</v>
      </c>
    </row>
    <row r="254" spans="1:16">
      <c r="A254" s="1">
        <v>253</v>
      </c>
      <c r="B254" s="1">
        <v>30</v>
      </c>
      <c r="C254" s="1" t="s">
        <v>16</v>
      </c>
      <c r="D254" s="1">
        <v>186.2</v>
      </c>
      <c r="E254" s="1">
        <v>77.6</v>
      </c>
      <c r="F254" s="1">
        <v>2498</v>
      </c>
      <c r="G254" s="1" t="s">
        <v>21</v>
      </c>
      <c r="H254" s="1">
        <v>1.725</v>
      </c>
      <c r="I254" s="1">
        <v>1.86199999999999</v>
      </c>
      <c r="J254" s="1">
        <v>22.3821791704979</v>
      </c>
      <c r="K254" t="str">
        <f t="shared" si="18"/>
        <v>缺口合适</v>
      </c>
      <c r="L254" s="2">
        <f t="shared" si="19"/>
        <v>1794.75</v>
      </c>
      <c r="M254" s="2">
        <f t="shared" si="20"/>
        <v>3095.94375</v>
      </c>
      <c r="N254" s="2">
        <f t="shared" si="21"/>
        <v>597.94375</v>
      </c>
      <c r="O254" s="2">
        <f t="shared" si="22"/>
        <v>426.8</v>
      </c>
      <c r="P254" s="2">
        <f t="shared" si="23"/>
        <v>853.6</v>
      </c>
    </row>
    <row r="255" spans="1:16">
      <c r="A255" s="1">
        <v>254</v>
      </c>
      <c r="B255" s="1">
        <v>20</v>
      </c>
      <c r="C255" s="1" t="s">
        <v>16</v>
      </c>
      <c r="D255" s="1">
        <v>174.5</v>
      </c>
      <c r="E255" s="1">
        <v>65</v>
      </c>
      <c r="F255" s="1">
        <v>2436</v>
      </c>
      <c r="G255" s="1" t="s">
        <v>19</v>
      </c>
      <c r="H255" s="1">
        <v>1.2</v>
      </c>
      <c r="I255" s="1">
        <v>1.745</v>
      </c>
      <c r="J255" s="1">
        <v>21.3462943653992</v>
      </c>
      <c r="K255" t="str">
        <f t="shared" si="18"/>
        <v>没有热量缺口</v>
      </c>
      <c r="L255" s="2">
        <f t="shared" si="19"/>
        <v>1645.625</v>
      </c>
      <c r="M255" s="2">
        <f t="shared" si="20"/>
        <v>1974.75</v>
      </c>
      <c r="N255" s="2">
        <f t="shared" si="21"/>
        <v>-461.25</v>
      </c>
      <c r="O255" s="2">
        <f t="shared" si="22"/>
        <v>357.5</v>
      </c>
      <c r="P255" s="2">
        <f t="shared" si="23"/>
        <v>715</v>
      </c>
    </row>
    <row r="256" spans="1:16">
      <c r="A256" s="1">
        <v>255</v>
      </c>
      <c r="B256" s="1">
        <v>33</v>
      </c>
      <c r="C256" s="1" t="s">
        <v>16</v>
      </c>
      <c r="D256" s="1">
        <v>189</v>
      </c>
      <c r="E256" s="1">
        <v>85.4</v>
      </c>
      <c r="F256" s="1">
        <v>2659</v>
      </c>
      <c r="G256" s="1" t="s">
        <v>21</v>
      </c>
      <c r="H256" s="1">
        <v>1.725</v>
      </c>
      <c r="I256" s="1">
        <v>1.89</v>
      </c>
      <c r="J256" s="1">
        <v>23.9075053889868</v>
      </c>
      <c r="K256" t="str">
        <f t="shared" si="18"/>
        <v>缺口合适</v>
      </c>
      <c r="L256" s="2">
        <f t="shared" si="19"/>
        <v>1875.25</v>
      </c>
      <c r="M256" s="2">
        <f t="shared" si="20"/>
        <v>3234.80625</v>
      </c>
      <c r="N256" s="2">
        <f t="shared" si="21"/>
        <v>575.80625</v>
      </c>
      <c r="O256" s="2">
        <f t="shared" si="22"/>
        <v>469.7</v>
      </c>
      <c r="P256" s="2">
        <f t="shared" si="23"/>
        <v>939.4</v>
      </c>
    </row>
    <row r="257" spans="1:16">
      <c r="A257" s="1">
        <v>256</v>
      </c>
      <c r="B257" s="1">
        <v>25</v>
      </c>
      <c r="C257" s="1" t="s">
        <v>16</v>
      </c>
      <c r="D257" s="1">
        <v>170.7</v>
      </c>
      <c r="E257" s="1">
        <v>67.8</v>
      </c>
      <c r="F257" s="1">
        <v>1996</v>
      </c>
      <c r="G257" s="1" t="s">
        <v>19</v>
      </c>
      <c r="H257" s="1">
        <v>1.2</v>
      </c>
      <c r="I257" s="1">
        <v>1.70699999999999</v>
      </c>
      <c r="J257" s="1">
        <v>23.2681926894633</v>
      </c>
      <c r="K257" t="str">
        <f t="shared" si="18"/>
        <v>没有热量缺口</v>
      </c>
      <c r="L257" s="2">
        <f t="shared" si="19"/>
        <v>1624.875</v>
      </c>
      <c r="M257" s="2">
        <f t="shared" si="20"/>
        <v>1949.85</v>
      </c>
      <c r="N257" s="2">
        <f t="shared" si="21"/>
        <v>-46.1500000000001</v>
      </c>
      <c r="O257" s="2">
        <f t="shared" si="22"/>
        <v>372.9</v>
      </c>
      <c r="P257" s="2">
        <f t="shared" si="23"/>
        <v>745.8</v>
      </c>
    </row>
    <row r="258" spans="1:16">
      <c r="A258" s="1">
        <v>257</v>
      </c>
      <c r="B258" s="1">
        <v>32</v>
      </c>
      <c r="C258" s="1" t="s">
        <v>18</v>
      </c>
      <c r="D258" s="1">
        <v>153.7</v>
      </c>
      <c r="E258" s="1">
        <v>66.1</v>
      </c>
      <c r="F258" s="1">
        <v>909</v>
      </c>
      <c r="G258" s="1" t="s">
        <v>19</v>
      </c>
      <c r="H258" s="1">
        <v>1.2</v>
      </c>
      <c r="I258" s="1">
        <v>1.537</v>
      </c>
      <c r="J258" s="1">
        <v>27.9803874839197</v>
      </c>
      <c r="K258" t="str">
        <f t="shared" ref="K258:K321" si="24">IF(N258&lt;=0,"没有热量缺口",IF(N258&lt;O258,"缺口过小",IF(N258&lt;=P258,"缺口合适","缺口过大")))</f>
        <v>缺口合适</v>
      </c>
      <c r="L258" s="2">
        <f t="shared" ref="L258:L321" si="25">IF(C258="male",10*E258+6.25*D258-5*B258+5,10*E258+6.25*D258-5*B258-161)</f>
        <v>1300.625</v>
      </c>
      <c r="M258" s="2">
        <f t="shared" ref="M258:M321" si="26">L258*H258</f>
        <v>1560.75</v>
      </c>
      <c r="N258" s="2">
        <f t="shared" ref="N258:N321" si="27">M258-F258</f>
        <v>651.75</v>
      </c>
      <c r="O258" s="2">
        <f t="shared" ref="O258:O321" si="28">E258*0.005*7700/7</f>
        <v>363.55</v>
      </c>
      <c r="P258" s="2">
        <f t="shared" ref="P258:P321" si="29">E258*0.01*7700/7</f>
        <v>727.1</v>
      </c>
    </row>
    <row r="259" spans="1:16">
      <c r="A259" s="1">
        <v>258</v>
      </c>
      <c r="B259" s="1">
        <v>27</v>
      </c>
      <c r="C259" s="1" t="s">
        <v>18</v>
      </c>
      <c r="D259" s="1">
        <v>175.6</v>
      </c>
      <c r="E259" s="1">
        <v>82</v>
      </c>
      <c r="F259" s="1">
        <v>2599</v>
      </c>
      <c r="G259" s="1" t="s">
        <v>20</v>
      </c>
      <c r="H259" s="1">
        <v>1.55</v>
      </c>
      <c r="I259" s="1">
        <v>1.756</v>
      </c>
      <c r="J259" s="1">
        <v>26.5928466539712</v>
      </c>
      <c r="K259" t="str">
        <f t="shared" si="24"/>
        <v>没有热量缺口</v>
      </c>
      <c r="L259" s="2">
        <f t="shared" si="25"/>
        <v>1621.5</v>
      </c>
      <c r="M259" s="2">
        <f t="shared" si="26"/>
        <v>2513.325</v>
      </c>
      <c r="N259" s="2">
        <f t="shared" si="27"/>
        <v>-85.6749999999997</v>
      </c>
      <c r="O259" s="2">
        <f t="shared" si="28"/>
        <v>451</v>
      </c>
      <c r="P259" s="2">
        <f t="shared" si="29"/>
        <v>902</v>
      </c>
    </row>
    <row r="260" spans="1:16">
      <c r="A260" s="1">
        <v>259</v>
      </c>
      <c r="B260" s="1">
        <v>26</v>
      </c>
      <c r="C260" s="1" t="s">
        <v>16</v>
      </c>
      <c r="D260" s="1">
        <v>180.2</v>
      </c>
      <c r="E260" s="1">
        <v>96</v>
      </c>
      <c r="F260" s="1">
        <v>2042</v>
      </c>
      <c r="G260" s="1" t="s">
        <v>17</v>
      </c>
      <c r="H260" s="1">
        <v>1.375</v>
      </c>
      <c r="I260" s="1">
        <v>1.80199999999999</v>
      </c>
      <c r="J260" s="1">
        <v>29.5638955852481</v>
      </c>
      <c r="K260" t="str">
        <f t="shared" si="24"/>
        <v>缺口合适</v>
      </c>
      <c r="L260" s="2">
        <f t="shared" si="25"/>
        <v>1961.25</v>
      </c>
      <c r="M260" s="2">
        <f t="shared" si="26"/>
        <v>2696.71875</v>
      </c>
      <c r="N260" s="2">
        <f t="shared" si="27"/>
        <v>654.71875</v>
      </c>
      <c r="O260" s="2">
        <f t="shared" si="28"/>
        <v>528</v>
      </c>
      <c r="P260" s="2">
        <f t="shared" si="29"/>
        <v>1056</v>
      </c>
    </row>
    <row r="261" spans="1:16">
      <c r="A261" s="1">
        <v>260</v>
      </c>
      <c r="B261" s="1">
        <v>20</v>
      </c>
      <c r="C261" s="1" t="s">
        <v>18</v>
      </c>
      <c r="D261" s="1">
        <v>168.2</v>
      </c>
      <c r="E261" s="1">
        <v>83.6</v>
      </c>
      <c r="F261" s="1">
        <v>2117</v>
      </c>
      <c r="G261" s="1" t="s">
        <v>17</v>
      </c>
      <c r="H261" s="1">
        <v>1.375</v>
      </c>
      <c r="I261" s="1">
        <v>1.682</v>
      </c>
      <c r="J261" s="1">
        <v>29.5497829009969</v>
      </c>
      <c r="K261" t="str">
        <f t="shared" si="24"/>
        <v>缺口过小</v>
      </c>
      <c r="L261" s="2">
        <f t="shared" si="25"/>
        <v>1626.25</v>
      </c>
      <c r="M261" s="2">
        <f t="shared" si="26"/>
        <v>2236.09375</v>
      </c>
      <c r="N261" s="2">
        <f t="shared" si="27"/>
        <v>119.09375</v>
      </c>
      <c r="O261" s="2">
        <f t="shared" si="28"/>
        <v>459.8</v>
      </c>
      <c r="P261" s="2">
        <f t="shared" si="29"/>
        <v>919.6</v>
      </c>
    </row>
    <row r="262" spans="1:16">
      <c r="A262" s="1">
        <v>261</v>
      </c>
      <c r="B262" s="1">
        <v>30</v>
      </c>
      <c r="C262" s="1" t="s">
        <v>18</v>
      </c>
      <c r="D262" s="1">
        <v>159.7</v>
      </c>
      <c r="E262" s="1">
        <v>69.3</v>
      </c>
      <c r="F262" s="1">
        <v>1867</v>
      </c>
      <c r="G262" s="1" t="s">
        <v>19</v>
      </c>
      <c r="H262" s="1">
        <v>1.2</v>
      </c>
      <c r="I262" s="1">
        <v>1.597</v>
      </c>
      <c r="J262" s="1">
        <v>27.1721123945218</v>
      </c>
      <c r="K262" t="str">
        <f t="shared" si="24"/>
        <v>没有热量缺口</v>
      </c>
      <c r="L262" s="2">
        <f t="shared" si="25"/>
        <v>1380.125</v>
      </c>
      <c r="M262" s="2">
        <f t="shared" si="26"/>
        <v>1656.15</v>
      </c>
      <c r="N262" s="2">
        <f t="shared" si="27"/>
        <v>-210.85</v>
      </c>
      <c r="O262" s="2">
        <f t="shared" si="28"/>
        <v>381.15</v>
      </c>
      <c r="P262" s="2">
        <f t="shared" si="29"/>
        <v>762.3</v>
      </c>
    </row>
    <row r="263" spans="1:16">
      <c r="A263" s="1">
        <v>262</v>
      </c>
      <c r="B263" s="1">
        <v>30</v>
      </c>
      <c r="C263" s="1" t="s">
        <v>18</v>
      </c>
      <c r="D263" s="1">
        <v>168.3</v>
      </c>
      <c r="E263" s="1">
        <v>100.2</v>
      </c>
      <c r="F263" s="1">
        <v>1323</v>
      </c>
      <c r="G263" s="1" t="s">
        <v>21</v>
      </c>
      <c r="H263" s="1">
        <v>1.725</v>
      </c>
      <c r="I263" s="1">
        <v>1.683</v>
      </c>
      <c r="J263" s="1">
        <v>35.3752477061693</v>
      </c>
      <c r="K263" t="str">
        <f t="shared" si="24"/>
        <v>缺口过大</v>
      </c>
      <c r="L263" s="2">
        <f t="shared" si="25"/>
        <v>1742.875</v>
      </c>
      <c r="M263" s="2">
        <f t="shared" si="26"/>
        <v>3006.459375</v>
      </c>
      <c r="N263" s="2">
        <f t="shared" si="27"/>
        <v>1683.459375</v>
      </c>
      <c r="O263" s="2">
        <f t="shared" si="28"/>
        <v>551.1</v>
      </c>
      <c r="P263" s="2">
        <f t="shared" si="29"/>
        <v>1102.2</v>
      </c>
    </row>
    <row r="264" spans="1:16">
      <c r="A264" s="1">
        <v>263</v>
      </c>
      <c r="B264" s="1">
        <v>27</v>
      </c>
      <c r="C264" s="1" t="s">
        <v>18</v>
      </c>
      <c r="D264" s="1">
        <v>174.5</v>
      </c>
      <c r="E264" s="1">
        <v>122.4</v>
      </c>
      <c r="F264" s="1">
        <v>3443</v>
      </c>
      <c r="G264" s="1" t="s">
        <v>19</v>
      </c>
      <c r="H264" s="1">
        <v>1.2</v>
      </c>
      <c r="I264" s="1">
        <v>1.745</v>
      </c>
      <c r="J264" s="1">
        <v>40.1967143126903</v>
      </c>
      <c r="K264" t="str">
        <f t="shared" si="24"/>
        <v>没有热量缺口</v>
      </c>
      <c r="L264" s="2">
        <f t="shared" si="25"/>
        <v>2018.625</v>
      </c>
      <c r="M264" s="2">
        <f t="shared" si="26"/>
        <v>2422.35</v>
      </c>
      <c r="N264" s="2">
        <f t="shared" si="27"/>
        <v>-1020.65</v>
      </c>
      <c r="O264" s="2">
        <f t="shared" si="28"/>
        <v>673.2</v>
      </c>
      <c r="P264" s="2">
        <f t="shared" si="29"/>
        <v>1346.4</v>
      </c>
    </row>
    <row r="265" spans="1:16">
      <c r="A265" s="1">
        <v>264</v>
      </c>
      <c r="B265" s="1">
        <v>25</v>
      </c>
      <c r="C265" s="1" t="s">
        <v>18</v>
      </c>
      <c r="D265" s="1">
        <v>168.1</v>
      </c>
      <c r="E265" s="1">
        <v>56.2</v>
      </c>
      <c r="F265" s="1">
        <v>1537</v>
      </c>
      <c r="G265" s="1" t="s">
        <v>20</v>
      </c>
      <c r="H265" s="1">
        <v>1.55</v>
      </c>
      <c r="I265" s="1">
        <v>1.681</v>
      </c>
      <c r="J265" s="1">
        <v>19.8884477491196</v>
      </c>
      <c r="K265" t="str">
        <f t="shared" si="24"/>
        <v>缺口合适</v>
      </c>
      <c r="L265" s="2">
        <f t="shared" si="25"/>
        <v>1326.625</v>
      </c>
      <c r="M265" s="2">
        <f t="shared" si="26"/>
        <v>2056.26875</v>
      </c>
      <c r="N265" s="2">
        <f t="shared" si="27"/>
        <v>519.26875</v>
      </c>
      <c r="O265" s="2">
        <f t="shared" si="28"/>
        <v>309.1</v>
      </c>
      <c r="P265" s="2">
        <f t="shared" si="29"/>
        <v>618.2</v>
      </c>
    </row>
    <row r="266" spans="1:16">
      <c r="A266" s="1">
        <v>265</v>
      </c>
      <c r="B266" s="1">
        <v>33</v>
      </c>
      <c r="C266" s="1" t="s">
        <v>16</v>
      </c>
      <c r="D266" s="1">
        <v>189.8</v>
      </c>
      <c r="E266" s="1">
        <v>248.2</v>
      </c>
      <c r="F266" s="1">
        <v>3495</v>
      </c>
      <c r="G266" s="1" t="s">
        <v>17</v>
      </c>
      <c r="H266" s="1">
        <v>1.375</v>
      </c>
      <c r="I266" s="1">
        <v>1.898</v>
      </c>
      <c r="J266" s="1">
        <v>68.8984356002269</v>
      </c>
      <c r="K266" t="str">
        <f t="shared" si="24"/>
        <v>缺口过小</v>
      </c>
      <c r="L266" s="2">
        <f t="shared" si="25"/>
        <v>3508.25</v>
      </c>
      <c r="M266" s="2">
        <f t="shared" si="26"/>
        <v>4823.84375</v>
      </c>
      <c r="N266" s="2">
        <f t="shared" si="27"/>
        <v>1328.84375</v>
      </c>
      <c r="O266" s="2">
        <f t="shared" si="28"/>
        <v>1365.1</v>
      </c>
      <c r="P266" s="2">
        <f t="shared" si="29"/>
        <v>2730.2</v>
      </c>
    </row>
    <row r="267" spans="1:16">
      <c r="A267" s="1">
        <v>266</v>
      </c>
      <c r="B267" s="1">
        <v>33</v>
      </c>
      <c r="C267" s="1" t="s">
        <v>16</v>
      </c>
      <c r="D267" s="1">
        <v>177.2</v>
      </c>
      <c r="E267" s="1">
        <v>87.3</v>
      </c>
      <c r="F267" s="1">
        <v>3122</v>
      </c>
      <c r="G267" s="1" t="s">
        <v>21</v>
      </c>
      <c r="H267" s="1">
        <v>1.725</v>
      </c>
      <c r="I267" s="1">
        <v>1.77199999999999</v>
      </c>
      <c r="J267" s="1">
        <v>27.8026894404557</v>
      </c>
      <c r="K267" t="str">
        <f t="shared" si="24"/>
        <v>缺口过小</v>
      </c>
      <c r="L267" s="2">
        <f t="shared" si="25"/>
        <v>1820.5</v>
      </c>
      <c r="M267" s="2">
        <f t="shared" si="26"/>
        <v>3140.3625</v>
      </c>
      <c r="N267" s="2">
        <f t="shared" si="27"/>
        <v>18.3625000000002</v>
      </c>
      <c r="O267" s="2">
        <f t="shared" si="28"/>
        <v>480.15</v>
      </c>
      <c r="P267" s="2">
        <f t="shared" si="29"/>
        <v>960.3</v>
      </c>
    </row>
    <row r="268" spans="1:16">
      <c r="A268" s="1">
        <v>267</v>
      </c>
      <c r="B268" s="1">
        <v>33</v>
      </c>
      <c r="C268" s="1" t="s">
        <v>16</v>
      </c>
      <c r="D268" s="1">
        <v>177.4</v>
      </c>
      <c r="E268" s="1">
        <v>86.4</v>
      </c>
      <c r="F268" s="1">
        <v>1047</v>
      </c>
      <c r="G268" s="1" t="s">
        <v>17</v>
      </c>
      <c r="H268" s="1">
        <v>1.375</v>
      </c>
      <c r="I268" s="1">
        <v>1.774</v>
      </c>
      <c r="J268" s="1">
        <v>27.4540557647797</v>
      </c>
      <c r="K268" t="str">
        <f t="shared" si="24"/>
        <v>缺口过大</v>
      </c>
      <c r="L268" s="2">
        <f t="shared" si="25"/>
        <v>1812.75</v>
      </c>
      <c r="M268" s="2">
        <f t="shared" si="26"/>
        <v>2492.53125</v>
      </c>
      <c r="N268" s="2">
        <f t="shared" si="27"/>
        <v>1445.53125</v>
      </c>
      <c r="O268" s="2">
        <f t="shared" si="28"/>
        <v>475.2</v>
      </c>
      <c r="P268" s="2">
        <f t="shared" si="29"/>
        <v>950.4</v>
      </c>
    </row>
    <row r="269" spans="1:16">
      <c r="A269" s="1">
        <v>268</v>
      </c>
      <c r="B269" s="1">
        <v>20</v>
      </c>
      <c r="C269" s="1" t="s">
        <v>18</v>
      </c>
      <c r="D269" s="1">
        <v>153.9</v>
      </c>
      <c r="E269" s="1">
        <v>47.3</v>
      </c>
      <c r="F269" s="1">
        <v>1159</v>
      </c>
      <c r="G269" s="1" t="s">
        <v>21</v>
      </c>
      <c r="H269" s="1">
        <v>1.725</v>
      </c>
      <c r="I269" s="1">
        <v>1.539</v>
      </c>
      <c r="J269" s="1">
        <v>19.970268365786</v>
      </c>
      <c r="K269" t="str">
        <f t="shared" si="24"/>
        <v>缺口过大</v>
      </c>
      <c r="L269" s="2">
        <f t="shared" si="25"/>
        <v>1173.875</v>
      </c>
      <c r="M269" s="2">
        <f t="shared" si="26"/>
        <v>2024.934375</v>
      </c>
      <c r="N269" s="2">
        <f t="shared" si="27"/>
        <v>865.934375</v>
      </c>
      <c r="O269" s="2">
        <f t="shared" si="28"/>
        <v>260.15</v>
      </c>
      <c r="P269" s="2">
        <f t="shared" si="29"/>
        <v>520.3</v>
      </c>
    </row>
    <row r="270" spans="1:16">
      <c r="A270" s="1">
        <v>269</v>
      </c>
      <c r="B270" s="1">
        <v>32</v>
      </c>
      <c r="C270" s="1" t="s">
        <v>16</v>
      </c>
      <c r="D270" s="1">
        <v>185.1</v>
      </c>
      <c r="E270" s="1">
        <v>90.7</v>
      </c>
      <c r="F270" s="1">
        <v>1450</v>
      </c>
      <c r="G270" s="1" t="s">
        <v>20</v>
      </c>
      <c r="H270" s="1">
        <v>1.55</v>
      </c>
      <c r="I270" s="1">
        <v>1.851</v>
      </c>
      <c r="J270" s="1">
        <v>26.4724690699699</v>
      </c>
      <c r="K270" t="str">
        <f t="shared" si="24"/>
        <v>缺口过大</v>
      </c>
      <c r="L270" s="2">
        <f t="shared" si="25"/>
        <v>1908.875</v>
      </c>
      <c r="M270" s="2">
        <f t="shared" si="26"/>
        <v>2958.75625</v>
      </c>
      <c r="N270" s="2">
        <f t="shared" si="27"/>
        <v>1508.75625</v>
      </c>
      <c r="O270" s="2">
        <f t="shared" si="28"/>
        <v>498.85</v>
      </c>
      <c r="P270" s="2">
        <f t="shared" si="29"/>
        <v>997.7</v>
      </c>
    </row>
    <row r="271" spans="1:16">
      <c r="A271" s="1">
        <v>270</v>
      </c>
      <c r="B271" s="1">
        <v>35</v>
      </c>
      <c r="C271" s="1" t="s">
        <v>16</v>
      </c>
      <c r="D271" s="1">
        <v>172.5</v>
      </c>
      <c r="E271" s="1">
        <v>86.4</v>
      </c>
      <c r="F271" s="1">
        <v>1697</v>
      </c>
      <c r="G271" s="1" t="s">
        <v>21</v>
      </c>
      <c r="H271" s="1">
        <v>1.725</v>
      </c>
      <c r="I271" s="1">
        <v>1.725</v>
      </c>
      <c r="J271" s="1">
        <v>29.0359168241965</v>
      </c>
      <c r="K271" t="str">
        <f t="shared" si="24"/>
        <v>缺口过大</v>
      </c>
      <c r="L271" s="2">
        <f t="shared" si="25"/>
        <v>1772.125</v>
      </c>
      <c r="M271" s="2">
        <f t="shared" si="26"/>
        <v>3056.915625</v>
      </c>
      <c r="N271" s="2">
        <f t="shared" si="27"/>
        <v>1359.915625</v>
      </c>
      <c r="O271" s="2">
        <f t="shared" si="28"/>
        <v>475.2</v>
      </c>
      <c r="P271" s="2">
        <f t="shared" si="29"/>
        <v>950.4</v>
      </c>
    </row>
    <row r="272" spans="1:16">
      <c r="A272" s="1">
        <v>271</v>
      </c>
      <c r="B272" s="1">
        <v>23</v>
      </c>
      <c r="C272" s="1" t="s">
        <v>16</v>
      </c>
      <c r="D272" s="1">
        <v>168.7</v>
      </c>
      <c r="E272" s="1">
        <v>117.1</v>
      </c>
      <c r="F272" s="1">
        <v>2901</v>
      </c>
      <c r="G272" s="1" t="s">
        <v>19</v>
      </c>
      <c r="H272" s="1">
        <v>1.2</v>
      </c>
      <c r="I272" s="1">
        <v>1.68699999999999</v>
      </c>
      <c r="J272" s="1">
        <v>41.1459155036474</v>
      </c>
      <c r="K272" t="str">
        <f t="shared" si="24"/>
        <v>没有热量缺口</v>
      </c>
      <c r="L272" s="2">
        <f t="shared" si="25"/>
        <v>2115.375</v>
      </c>
      <c r="M272" s="2">
        <f t="shared" si="26"/>
        <v>2538.45</v>
      </c>
      <c r="N272" s="2">
        <f t="shared" si="27"/>
        <v>-362.55</v>
      </c>
      <c r="O272" s="2">
        <f t="shared" si="28"/>
        <v>644.05</v>
      </c>
      <c r="P272" s="2">
        <f t="shared" si="29"/>
        <v>1288.1</v>
      </c>
    </row>
    <row r="273" spans="1:16">
      <c r="A273" s="1">
        <v>272</v>
      </c>
      <c r="B273" s="1">
        <v>21</v>
      </c>
      <c r="C273" s="1" t="s">
        <v>16</v>
      </c>
      <c r="D273" s="1">
        <v>177.5</v>
      </c>
      <c r="E273" s="1">
        <v>94.6</v>
      </c>
      <c r="F273" s="1">
        <v>950</v>
      </c>
      <c r="G273" s="1" t="s">
        <v>21</v>
      </c>
      <c r="H273" s="1">
        <v>1.725</v>
      </c>
      <c r="I273" s="1">
        <v>1.775</v>
      </c>
      <c r="J273" s="1">
        <v>30.025788534021</v>
      </c>
      <c r="K273" t="str">
        <f t="shared" si="24"/>
        <v>缺口过大</v>
      </c>
      <c r="L273" s="2">
        <f t="shared" si="25"/>
        <v>1955.375</v>
      </c>
      <c r="M273" s="2">
        <f t="shared" si="26"/>
        <v>3373.021875</v>
      </c>
      <c r="N273" s="2">
        <f t="shared" si="27"/>
        <v>2423.021875</v>
      </c>
      <c r="O273" s="2">
        <f t="shared" si="28"/>
        <v>520.3</v>
      </c>
      <c r="P273" s="2">
        <f t="shared" si="29"/>
        <v>1040.6</v>
      </c>
    </row>
    <row r="274" spans="1:16">
      <c r="A274" s="1">
        <v>273</v>
      </c>
      <c r="B274" s="1">
        <v>21</v>
      </c>
      <c r="C274" s="1" t="s">
        <v>18</v>
      </c>
      <c r="D274" s="1">
        <v>149.7</v>
      </c>
      <c r="E274" s="1">
        <v>63.3</v>
      </c>
      <c r="F274" s="1">
        <v>942</v>
      </c>
      <c r="G274" s="1" t="s">
        <v>20</v>
      </c>
      <c r="H274" s="1">
        <v>1.55</v>
      </c>
      <c r="I274" s="1">
        <v>1.49699999999999</v>
      </c>
      <c r="J274" s="1">
        <v>28.2462051691894</v>
      </c>
      <c r="K274" t="str">
        <f t="shared" si="24"/>
        <v>缺口过大</v>
      </c>
      <c r="L274" s="2">
        <f t="shared" si="25"/>
        <v>1302.625</v>
      </c>
      <c r="M274" s="2">
        <f t="shared" si="26"/>
        <v>2019.06875</v>
      </c>
      <c r="N274" s="2">
        <f t="shared" si="27"/>
        <v>1077.06875</v>
      </c>
      <c r="O274" s="2">
        <f t="shared" si="28"/>
        <v>348.15</v>
      </c>
      <c r="P274" s="2">
        <f t="shared" si="29"/>
        <v>696.3</v>
      </c>
    </row>
    <row r="275" spans="1:16">
      <c r="A275" s="1">
        <v>274</v>
      </c>
      <c r="B275" s="1">
        <v>34</v>
      </c>
      <c r="C275" s="1" t="s">
        <v>18</v>
      </c>
      <c r="D275" s="1">
        <v>168.6</v>
      </c>
      <c r="E275" s="1">
        <v>111.5</v>
      </c>
      <c r="F275" s="1">
        <v>1602</v>
      </c>
      <c r="G275" s="1" t="s">
        <v>19</v>
      </c>
      <c r="H275" s="1">
        <v>1.2</v>
      </c>
      <c r="I275" s="1">
        <v>1.686</v>
      </c>
      <c r="J275" s="1">
        <v>39.2247086817824</v>
      </c>
      <c r="K275" t="str">
        <f t="shared" si="24"/>
        <v>缺口过小</v>
      </c>
      <c r="L275" s="2">
        <f t="shared" si="25"/>
        <v>1837.75</v>
      </c>
      <c r="M275" s="2">
        <f t="shared" si="26"/>
        <v>2205.3</v>
      </c>
      <c r="N275" s="2">
        <f t="shared" si="27"/>
        <v>603.3</v>
      </c>
      <c r="O275" s="2">
        <f t="shared" si="28"/>
        <v>613.25</v>
      </c>
      <c r="P275" s="2">
        <f t="shared" si="29"/>
        <v>1226.5</v>
      </c>
    </row>
    <row r="276" spans="1:16">
      <c r="A276" s="1">
        <v>275</v>
      </c>
      <c r="B276" s="1">
        <v>31</v>
      </c>
      <c r="C276" s="1" t="s">
        <v>16</v>
      </c>
      <c r="D276" s="1">
        <v>170</v>
      </c>
      <c r="E276" s="1">
        <v>123</v>
      </c>
      <c r="F276" s="1">
        <v>3003</v>
      </c>
      <c r="G276" s="1" t="s">
        <v>17</v>
      </c>
      <c r="H276" s="1">
        <v>1.375</v>
      </c>
      <c r="I276" s="1">
        <v>1.7</v>
      </c>
      <c r="J276" s="1">
        <v>42.560553633218</v>
      </c>
      <c r="K276" t="str">
        <f t="shared" si="24"/>
        <v>没有热量缺口</v>
      </c>
      <c r="L276" s="2">
        <f t="shared" si="25"/>
        <v>2142.5</v>
      </c>
      <c r="M276" s="2">
        <f t="shared" si="26"/>
        <v>2945.9375</v>
      </c>
      <c r="N276" s="2">
        <f t="shared" si="27"/>
        <v>-57.0625</v>
      </c>
      <c r="O276" s="2">
        <f t="shared" si="28"/>
        <v>676.5</v>
      </c>
      <c r="P276" s="2">
        <f t="shared" si="29"/>
        <v>1353</v>
      </c>
    </row>
    <row r="277" spans="1:16">
      <c r="A277" s="1">
        <v>276</v>
      </c>
      <c r="B277" s="1">
        <v>23</v>
      </c>
      <c r="C277" s="1" t="s">
        <v>16</v>
      </c>
      <c r="D277" s="1">
        <v>188.3</v>
      </c>
      <c r="E277" s="1">
        <v>116.3</v>
      </c>
      <c r="F277" s="1">
        <v>1894</v>
      </c>
      <c r="G277" s="1" t="s">
        <v>20</v>
      </c>
      <c r="H277" s="1">
        <v>1.55</v>
      </c>
      <c r="I277" s="1">
        <v>1.883</v>
      </c>
      <c r="J277" s="1">
        <v>32.8003950713105</v>
      </c>
      <c r="K277" t="str">
        <f t="shared" si="24"/>
        <v>缺口过大</v>
      </c>
      <c r="L277" s="2">
        <f t="shared" si="25"/>
        <v>2229.875</v>
      </c>
      <c r="M277" s="2">
        <f t="shared" si="26"/>
        <v>3456.30625</v>
      </c>
      <c r="N277" s="2">
        <f t="shared" si="27"/>
        <v>1562.30625</v>
      </c>
      <c r="O277" s="2">
        <f t="shared" si="28"/>
        <v>639.65</v>
      </c>
      <c r="P277" s="2">
        <f t="shared" si="29"/>
        <v>1279.3</v>
      </c>
    </row>
    <row r="278" spans="1:16">
      <c r="A278" s="1">
        <v>277</v>
      </c>
      <c r="B278" s="1">
        <v>24</v>
      </c>
      <c r="C278" s="1" t="s">
        <v>18</v>
      </c>
      <c r="D278" s="1">
        <v>164.8</v>
      </c>
      <c r="E278" s="1">
        <v>63.3</v>
      </c>
      <c r="F278" s="1">
        <v>1544</v>
      </c>
      <c r="G278" s="1" t="s">
        <v>21</v>
      </c>
      <c r="H278" s="1">
        <v>1.725</v>
      </c>
      <c r="I278" s="1">
        <v>1.648</v>
      </c>
      <c r="J278" s="1">
        <v>23.30715665944</v>
      </c>
      <c r="K278" t="str">
        <f t="shared" si="24"/>
        <v>缺口过大</v>
      </c>
      <c r="L278" s="2">
        <f t="shared" si="25"/>
        <v>1382</v>
      </c>
      <c r="M278" s="2">
        <f t="shared" si="26"/>
        <v>2383.95</v>
      </c>
      <c r="N278" s="2">
        <f t="shared" si="27"/>
        <v>839.95</v>
      </c>
      <c r="O278" s="2">
        <f t="shared" si="28"/>
        <v>348.15</v>
      </c>
      <c r="P278" s="2">
        <f t="shared" si="29"/>
        <v>696.3</v>
      </c>
    </row>
    <row r="279" spans="1:16">
      <c r="A279" s="1">
        <v>278</v>
      </c>
      <c r="B279" s="1">
        <v>32</v>
      </c>
      <c r="C279" s="1" t="s">
        <v>18</v>
      </c>
      <c r="D279" s="1">
        <v>158.2</v>
      </c>
      <c r="E279" s="1">
        <v>97.4</v>
      </c>
      <c r="F279" s="1">
        <v>969</v>
      </c>
      <c r="G279" s="1" t="s">
        <v>17</v>
      </c>
      <c r="H279" s="1">
        <v>1.375</v>
      </c>
      <c r="I279" s="1">
        <v>1.58199999999999</v>
      </c>
      <c r="J279" s="1">
        <v>38.9175953880651</v>
      </c>
      <c r="K279" t="str">
        <f t="shared" si="24"/>
        <v>缺口过大</v>
      </c>
      <c r="L279" s="2">
        <f t="shared" si="25"/>
        <v>1641.75</v>
      </c>
      <c r="M279" s="2">
        <f t="shared" si="26"/>
        <v>2257.40625</v>
      </c>
      <c r="N279" s="2">
        <f t="shared" si="27"/>
        <v>1288.40625</v>
      </c>
      <c r="O279" s="2">
        <f t="shared" si="28"/>
        <v>535.7</v>
      </c>
      <c r="P279" s="2">
        <f t="shared" si="29"/>
        <v>1071.4</v>
      </c>
    </row>
    <row r="280" spans="1:16">
      <c r="A280" s="1">
        <v>279</v>
      </c>
      <c r="B280" s="1">
        <v>25</v>
      </c>
      <c r="C280" s="1" t="s">
        <v>18</v>
      </c>
      <c r="D280" s="1">
        <v>168.9</v>
      </c>
      <c r="E280" s="1">
        <v>68.5</v>
      </c>
      <c r="F280" s="1">
        <v>1240</v>
      </c>
      <c r="G280" s="1" t="s">
        <v>20</v>
      </c>
      <c r="H280" s="1">
        <v>1.55</v>
      </c>
      <c r="I280" s="1">
        <v>1.689</v>
      </c>
      <c r="J280" s="1">
        <v>24.0121624231742</v>
      </c>
      <c r="K280" t="str">
        <f t="shared" si="24"/>
        <v>缺口过大</v>
      </c>
      <c r="L280" s="2">
        <f t="shared" si="25"/>
        <v>1454.625</v>
      </c>
      <c r="M280" s="2">
        <f t="shared" si="26"/>
        <v>2254.66875</v>
      </c>
      <c r="N280" s="2">
        <f t="shared" si="27"/>
        <v>1014.66875</v>
      </c>
      <c r="O280" s="2">
        <f t="shared" si="28"/>
        <v>376.75</v>
      </c>
      <c r="P280" s="2">
        <f t="shared" si="29"/>
        <v>753.5</v>
      </c>
    </row>
    <row r="281" spans="1:16">
      <c r="A281" s="1">
        <v>280</v>
      </c>
      <c r="B281" s="1">
        <v>28</v>
      </c>
      <c r="C281" s="1" t="s">
        <v>18</v>
      </c>
      <c r="D281" s="1">
        <v>160.6</v>
      </c>
      <c r="E281" s="1">
        <v>81.4</v>
      </c>
      <c r="F281" s="1">
        <v>1750</v>
      </c>
      <c r="G281" s="1" t="s">
        <v>21</v>
      </c>
      <c r="H281" s="1">
        <v>1.725</v>
      </c>
      <c r="I281" s="1">
        <v>1.60599999999999</v>
      </c>
      <c r="J281" s="1">
        <v>31.5597331923096</v>
      </c>
      <c r="K281" t="str">
        <f t="shared" si="24"/>
        <v>缺口合适</v>
      </c>
      <c r="L281" s="2">
        <f t="shared" si="25"/>
        <v>1516.75</v>
      </c>
      <c r="M281" s="2">
        <f t="shared" si="26"/>
        <v>2616.39375</v>
      </c>
      <c r="N281" s="2">
        <f t="shared" si="27"/>
        <v>866.39375</v>
      </c>
      <c r="O281" s="2">
        <f t="shared" si="28"/>
        <v>447.7</v>
      </c>
      <c r="P281" s="2">
        <f t="shared" si="29"/>
        <v>895.4</v>
      </c>
    </row>
    <row r="282" spans="1:16">
      <c r="A282" s="1">
        <v>281</v>
      </c>
      <c r="B282" s="1">
        <v>35</v>
      </c>
      <c r="C282" s="1" t="s">
        <v>18</v>
      </c>
      <c r="D282" s="1">
        <v>154.2</v>
      </c>
      <c r="E282" s="1">
        <v>98.5</v>
      </c>
      <c r="F282" s="1">
        <v>478</v>
      </c>
      <c r="G282" s="1" t="s">
        <v>17</v>
      </c>
      <c r="H282" s="1">
        <v>1.375</v>
      </c>
      <c r="I282" s="1">
        <v>1.54199999999999</v>
      </c>
      <c r="J282" s="1">
        <v>41.4254736803147</v>
      </c>
      <c r="K282" t="str">
        <f t="shared" si="24"/>
        <v>缺口过大</v>
      </c>
      <c r="L282" s="2">
        <f t="shared" si="25"/>
        <v>1612.75</v>
      </c>
      <c r="M282" s="2">
        <f t="shared" si="26"/>
        <v>2217.53125</v>
      </c>
      <c r="N282" s="2">
        <f t="shared" si="27"/>
        <v>1739.53125</v>
      </c>
      <c r="O282" s="2">
        <f t="shared" si="28"/>
        <v>541.75</v>
      </c>
      <c r="P282" s="2">
        <f t="shared" si="29"/>
        <v>1083.5</v>
      </c>
    </row>
    <row r="283" spans="1:16">
      <c r="A283" s="1">
        <v>282</v>
      </c>
      <c r="B283" s="1">
        <v>29</v>
      </c>
      <c r="C283" s="1" t="s">
        <v>18</v>
      </c>
      <c r="D283" s="1">
        <v>161.2</v>
      </c>
      <c r="E283" s="1">
        <v>60.2</v>
      </c>
      <c r="F283" s="1">
        <v>2048</v>
      </c>
      <c r="G283" s="1" t="s">
        <v>17</v>
      </c>
      <c r="H283" s="1">
        <v>1.375</v>
      </c>
      <c r="I283" s="1">
        <v>1.61199999999999</v>
      </c>
      <c r="J283" s="1">
        <v>23.1668195728069</v>
      </c>
      <c r="K283" t="str">
        <f t="shared" si="24"/>
        <v>没有热量缺口</v>
      </c>
      <c r="L283" s="2">
        <f t="shared" si="25"/>
        <v>1303.5</v>
      </c>
      <c r="M283" s="2">
        <f t="shared" si="26"/>
        <v>1792.3125</v>
      </c>
      <c r="N283" s="2">
        <f t="shared" si="27"/>
        <v>-255.6875</v>
      </c>
      <c r="O283" s="2">
        <f t="shared" si="28"/>
        <v>331.1</v>
      </c>
      <c r="P283" s="2">
        <f t="shared" si="29"/>
        <v>662.2</v>
      </c>
    </row>
    <row r="284" spans="1:16">
      <c r="A284" s="1">
        <v>283</v>
      </c>
      <c r="B284" s="1">
        <v>20</v>
      </c>
      <c r="C284" s="1" t="s">
        <v>18</v>
      </c>
      <c r="D284" s="1">
        <v>164.7</v>
      </c>
      <c r="E284" s="1">
        <v>70.8</v>
      </c>
      <c r="F284" s="1">
        <v>2800</v>
      </c>
      <c r="G284" s="1" t="s">
        <v>21</v>
      </c>
      <c r="H284" s="1">
        <v>1.725</v>
      </c>
      <c r="I284" s="1">
        <v>1.64699999999999</v>
      </c>
      <c r="J284" s="1">
        <v>26.1003336640112</v>
      </c>
      <c r="K284" t="str">
        <f t="shared" si="24"/>
        <v>没有热量缺口</v>
      </c>
      <c r="L284" s="2">
        <f t="shared" si="25"/>
        <v>1476.375</v>
      </c>
      <c r="M284" s="2">
        <f t="shared" si="26"/>
        <v>2546.746875</v>
      </c>
      <c r="N284" s="2">
        <f t="shared" si="27"/>
        <v>-253.253125</v>
      </c>
      <c r="O284" s="2">
        <f t="shared" si="28"/>
        <v>389.4</v>
      </c>
      <c r="P284" s="2">
        <f t="shared" si="29"/>
        <v>778.8</v>
      </c>
    </row>
    <row r="285" spans="1:16">
      <c r="A285" s="1">
        <v>284</v>
      </c>
      <c r="B285" s="1">
        <v>32</v>
      </c>
      <c r="C285" s="1" t="s">
        <v>18</v>
      </c>
      <c r="D285" s="1">
        <v>165.7</v>
      </c>
      <c r="E285" s="1">
        <v>96.3</v>
      </c>
      <c r="F285" s="1">
        <v>1414</v>
      </c>
      <c r="G285" s="1" t="s">
        <v>21</v>
      </c>
      <c r="H285" s="1">
        <v>1.725</v>
      </c>
      <c r="I285" s="1">
        <v>1.65699999999999</v>
      </c>
      <c r="J285" s="1">
        <v>35.0736747486659</v>
      </c>
      <c r="K285" t="str">
        <f t="shared" si="24"/>
        <v>缺口过大</v>
      </c>
      <c r="L285" s="2">
        <f t="shared" si="25"/>
        <v>1677.625</v>
      </c>
      <c r="M285" s="2">
        <f t="shared" si="26"/>
        <v>2893.903125</v>
      </c>
      <c r="N285" s="2">
        <f t="shared" si="27"/>
        <v>1479.903125</v>
      </c>
      <c r="O285" s="2">
        <f t="shared" si="28"/>
        <v>529.65</v>
      </c>
      <c r="P285" s="2">
        <f t="shared" si="29"/>
        <v>1059.3</v>
      </c>
    </row>
    <row r="286" spans="1:16">
      <c r="A286" s="1">
        <v>285</v>
      </c>
      <c r="B286" s="1">
        <v>28</v>
      </c>
      <c r="C286" s="1" t="s">
        <v>16</v>
      </c>
      <c r="D286" s="1">
        <v>178.5</v>
      </c>
      <c r="E286" s="1">
        <v>68.2</v>
      </c>
      <c r="F286" s="1">
        <v>2297</v>
      </c>
      <c r="G286" s="1" t="s">
        <v>21</v>
      </c>
      <c r="H286" s="1">
        <v>1.725</v>
      </c>
      <c r="I286" s="1">
        <v>1.785</v>
      </c>
      <c r="J286" s="1">
        <v>21.4046402874875</v>
      </c>
      <c r="K286" t="str">
        <f t="shared" si="24"/>
        <v>缺口合适</v>
      </c>
      <c r="L286" s="2">
        <f t="shared" si="25"/>
        <v>1662.625</v>
      </c>
      <c r="M286" s="2">
        <f t="shared" si="26"/>
        <v>2868.028125</v>
      </c>
      <c r="N286" s="2">
        <f t="shared" si="27"/>
        <v>571.028125</v>
      </c>
      <c r="O286" s="2">
        <f t="shared" si="28"/>
        <v>375.1</v>
      </c>
      <c r="P286" s="2">
        <f t="shared" si="29"/>
        <v>750.2</v>
      </c>
    </row>
    <row r="287" spans="1:16">
      <c r="A287" s="1">
        <v>286</v>
      </c>
      <c r="B287" s="1">
        <v>23</v>
      </c>
      <c r="C287" s="1" t="s">
        <v>16</v>
      </c>
      <c r="D287" s="1">
        <v>180.1</v>
      </c>
      <c r="E287" s="1">
        <v>88.3</v>
      </c>
      <c r="F287" s="1">
        <v>2455</v>
      </c>
      <c r="G287" s="1" t="s">
        <v>19</v>
      </c>
      <c r="H287" s="1">
        <v>1.2</v>
      </c>
      <c r="I287" s="1">
        <v>1.801</v>
      </c>
      <c r="J287" s="1">
        <v>27.2228304282801</v>
      </c>
      <c r="K287" t="str">
        <f t="shared" si="24"/>
        <v>没有热量缺口</v>
      </c>
      <c r="L287" s="2">
        <f t="shared" si="25"/>
        <v>1898.625</v>
      </c>
      <c r="M287" s="2">
        <f t="shared" si="26"/>
        <v>2278.35</v>
      </c>
      <c r="N287" s="2">
        <f t="shared" si="27"/>
        <v>-176.65</v>
      </c>
      <c r="O287" s="2">
        <f t="shared" si="28"/>
        <v>485.65</v>
      </c>
      <c r="P287" s="2">
        <f t="shared" si="29"/>
        <v>971.3</v>
      </c>
    </row>
    <row r="288" spans="1:16">
      <c r="A288" s="1">
        <v>287</v>
      </c>
      <c r="B288" s="1">
        <v>25</v>
      </c>
      <c r="C288" s="1" t="s">
        <v>16</v>
      </c>
      <c r="D288" s="1">
        <v>191.5</v>
      </c>
      <c r="E288" s="1">
        <v>114.5</v>
      </c>
      <c r="F288" s="1">
        <v>2785</v>
      </c>
      <c r="G288" s="1" t="s">
        <v>19</v>
      </c>
      <c r="H288" s="1">
        <v>1.2</v>
      </c>
      <c r="I288" s="1">
        <v>1.915</v>
      </c>
      <c r="J288" s="1">
        <v>31.2225183892452</v>
      </c>
      <c r="K288" t="str">
        <f t="shared" si="24"/>
        <v>没有热量缺口</v>
      </c>
      <c r="L288" s="2">
        <f t="shared" si="25"/>
        <v>2221.875</v>
      </c>
      <c r="M288" s="2">
        <f t="shared" si="26"/>
        <v>2666.25</v>
      </c>
      <c r="N288" s="2">
        <f t="shared" si="27"/>
        <v>-118.75</v>
      </c>
      <c r="O288" s="2">
        <f t="shared" si="28"/>
        <v>629.75</v>
      </c>
      <c r="P288" s="2">
        <f t="shared" si="29"/>
        <v>1259.5</v>
      </c>
    </row>
    <row r="289" spans="1:16">
      <c r="A289" s="1">
        <v>288</v>
      </c>
      <c r="B289" s="1">
        <v>28</v>
      </c>
      <c r="C289" s="1" t="s">
        <v>16</v>
      </c>
      <c r="D289" s="1">
        <v>172.7</v>
      </c>
      <c r="E289" s="1">
        <v>69.9</v>
      </c>
      <c r="F289" s="1">
        <v>2741</v>
      </c>
      <c r="G289" s="1" t="s">
        <v>21</v>
      </c>
      <c r="H289" s="1">
        <v>1.725</v>
      </c>
      <c r="I289" s="1">
        <v>1.72699999999999</v>
      </c>
      <c r="J289" s="1">
        <v>23.4364862839556</v>
      </c>
      <c r="K289" t="str">
        <f t="shared" si="24"/>
        <v>缺口过小</v>
      </c>
      <c r="L289" s="2">
        <f t="shared" si="25"/>
        <v>1643.375</v>
      </c>
      <c r="M289" s="2">
        <f t="shared" si="26"/>
        <v>2834.821875</v>
      </c>
      <c r="N289" s="2">
        <f t="shared" si="27"/>
        <v>93.8218750000001</v>
      </c>
      <c r="O289" s="2">
        <f t="shared" si="28"/>
        <v>384.45</v>
      </c>
      <c r="P289" s="2">
        <f t="shared" si="29"/>
        <v>768.9</v>
      </c>
    </row>
    <row r="290" spans="1:16">
      <c r="A290" s="1">
        <v>289</v>
      </c>
      <c r="B290" s="1">
        <v>26</v>
      </c>
      <c r="C290" s="1" t="s">
        <v>18</v>
      </c>
      <c r="D290" s="1">
        <v>161.6</v>
      </c>
      <c r="E290" s="1">
        <v>134.9</v>
      </c>
      <c r="F290" s="1">
        <v>451</v>
      </c>
      <c r="G290" s="1" t="s">
        <v>17</v>
      </c>
      <c r="H290" s="1">
        <v>1.375</v>
      </c>
      <c r="I290" s="1">
        <v>1.61599999999999</v>
      </c>
      <c r="J290" s="1">
        <v>51.6570066660131</v>
      </c>
      <c r="K290" t="str">
        <f t="shared" si="24"/>
        <v>缺口过大</v>
      </c>
      <c r="L290" s="2">
        <f t="shared" si="25"/>
        <v>2068</v>
      </c>
      <c r="M290" s="2">
        <f t="shared" si="26"/>
        <v>2843.5</v>
      </c>
      <c r="N290" s="2">
        <f t="shared" si="27"/>
        <v>2392.5</v>
      </c>
      <c r="O290" s="2">
        <f t="shared" si="28"/>
        <v>741.95</v>
      </c>
      <c r="P290" s="2">
        <f t="shared" si="29"/>
        <v>1483.9</v>
      </c>
    </row>
    <row r="291" spans="1:16">
      <c r="A291" s="1">
        <v>290</v>
      </c>
      <c r="B291" s="1">
        <v>29</v>
      </c>
      <c r="C291" s="1" t="s">
        <v>16</v>
      </c>
      <c r="D291" s="1">
        <v>171.5</v>
      </c>
      <c r="E291" s="1">
        <v>80.2</v>
      </c>
      <c r="F291" s="1">
        <v>2800</v>
      </c>
      <c r="G291" s="1" t="s">
        <v>21</v>
      </c>
      <c r="H291" s="1">
        <v>1.725</v>
      </c>
      <c r="I291" s="1">
        <v>1.715</v>
      </c>
      <c r="J291" s="1">
        <v>27.2675500854235</v>
      </c>
      <c r="K291" t="str">
        <f t="shared" si="24"/>
        <v>缺口过小</v>
      </c>
      <c r="L291" s="2">
        <f t="shared" si="25"/>
        <v>1733.875</v>
      </c>
      <c r="M291" s="2">
        <f t="shared" si="26"/>
        <v>2990.934375</v>
      </c>
      <c r="N291" s="2">
        <f t="shared" si="27"/>
        <v>190.934375</v>
      </c>
      <c r="O291" s="2">
        <f t="shared" si="28"/>
        <v>441.1</v>
      </c>
      <c r="P291" s="2">
        <f t="shared" si="29"/>
        <v>882.2</v>
      </c>
    </row>
    <row r="292" spans="1:16">
      <c r="A292" s="1">
        <v>291</v>
      </c>
      <c r="B292" s="1">
        <v>30</v>
      </c>
      <c r="C292" s="1" t="s">
        <v>16</v>
      </c>
      <c r="D292" s="1">
        <v>162.4</v>
      </c>
      <c r="E292" s="1">
        <v>51.5</v>
      </c>
      <c r="F292" s="1">
        <v>2977</v>
      </c>
      <c r="G292" s="1" t="s">
        <v>21</v>
      </c>
      <c r="H292" s="1">
        <v>1.725</v>
      </c>
      <c r="I292" s="1">
        <v>1.624</v>
      </c>
      <c r="J292" s="1">
        <v>19.5269843966123</v>
      </c>
      <c r="K292" t="str">
        <f t="shared" si="24"/>
        <v>没有热量缺口</v>
      </c>
      <c r="L292" s="2">
        <f t="shared" si="25"/>
        <v>1385</v>
      </c>
      <c r="M292" s="2">
        <f t="shared" si="26"/>
        <v>2389.125</v>
      </c>
      <c r="N292" s="2">
        <f t="shared" si="27"/>
        <v>-587.875</v>
      </c>
      <c r="O292" s="2">
        <f t="shared" si="28"/>
        <v>283.25</v>
      </c>
      <c r="P292" s="2">
        <f t="shared" si="29"/>
        <v>566.5</v>
      </c>
    </row>
    <row r="293" spans="1:16">
      <c r="A293" s="1">
        <v>292</v>
      </c>
      <c r="B293" s="1">
        <v>29</v>
      </c>
      <c r="C293" s="1" t="s">
        <v>16</v>
      </c>
      <c r="D293" s="1">
        <v>187</v>
      </c>
      <c r="E293" s="1">
        <v>110.6</v>
      </c>
      <c r="F293" s="1">
        <v>4976</v>
      </c>
      <c r="G293" s="1" t="s">
        <v>19</v>
      </c>
      <c r="H293" s="1">
        <v>1.2</v>
      </c>
      <c r="I293" s="1">
        <v>1.87</v>
      </c>
      <c r="J293" s="1">
        <v>31.6280133832823</v>
      </c>
      <c r="K293" t="str">
        <f t="shared" si="24"/>
        <v>没有热量缺口</v>
      </c>
      <c r="L293" s="2">
        <f t="shared" si="25"/>
        <v>2134.75</v>
      </c>
      <c r="M293" s="2">
        <f t="shared" si="26"/>
        <v>2561.7</v>
      </c>
      <c r="N293" s="2">
        <f t="shared" si="27"/>
        <v>-2414.3</v>
      </c>
      <c r="O293" s="2">
        <f t="shared" si="28"/>
        <v>608.3</v>
      </c>
      <c r="P293" s="2">
        <f t="shared" si="29"/>
        <v>1216.6</v>
      </c>
    </row>
    <row r="294" spans="1:16">
      <c r="A294" s="1">
        <v>293</v>
      </c>
      <c r="B294" s="1">
        <v>27</v>
      </c>
      <c r="C294" s="1" t="s">
        <v>18</v>
      </c>
      <c r="D294" s="1">
        <v>155.5</v>
      </c>
      <c r="E294" s="1">
        <v>75.5</v>
      </c>
      <c r="F294" s="1">
        <v>2030</v>
      </c>
      <c r="G294" s="1" t="s">
        <v>17</v>
      </c>
      <c r="H294" s="1">
        <v>1.375</v>
      </c>
      <c r="I294" s="1">
        <v>1.555</v>
      </c>
      <c r="J294" s="1">
        <v>31.2238293648742</v>
      </c>
      <c r="K294" t="str">
        <f t="shared" si="24"/>
        <v>没有热量缺口</v>
      </c>
      <c r="L294" s="2">
        <f t="shared" si="25"/>
        <v>1430.875</v>
      </c>
      <c r="M294" s="2">
        <f t="shared" si="26"/>
        <v>1967.453125</v>
      </c>
      <c r="N294" s="2">
        <f t="shared" si="27"/>
        <v>-62.546875</v>
      </c>
      <c r="O294" s="2">
        <f t="shared" si="28"/>
        <v>415.25</v>
      </c>
      <c r="P294" s="2">
        <f t="shared" si="29"/>
        <v>830.5</v>
      </c>
    </row>
    <row r="295" spans="1:16">
      <c r="A295" s="1">
        <v>294</v>
      </c>
      <c r="B295" s="1">
        <v>25</v>
      </c>
      <c r="C295" s="1" t="s">
        <v>18</v>
      </c>
      <c r="D295" s="1">
        <v>155.5</v>
      </c>
      <c r="E295" s="1">
        <v>44.1</v>
      </c>
      <c r="F295" s="1">
        <v>1632</v>
      </c>
      <c r="G295" s="1" t="s">
        <v>21</v>
      </c>
      <c r="H295" s="1">
        <v>1.725</v>
      </c>
      <c r="I295" s="1">
        <v>1.555</v>
      </c>
      <c r="J295" s="1">
        <v>18.2380248343172</v>
      </c>
      <c r="K295" t="str">
        <f t="shared" si="24"/>
        <v>缺口合适</v>
      </c>
      <c r="L295" s="2">
        <f t="shared" si="25"/>
        <v>1126.875</v>
      </c>
      <c r="M295" s="2">
        <f t="shared" si="26"/>
        <v>1943.859375</v>
      </c>
      <c r="N295" s="2">
        <f t="shared" si="27"/>
        <v>311.859375</v>
      </c>
      <c r="O295" s="2">
        <f t="shared" si="28"/>
        <v>242.55</v>
      </c>
      <c r="P295" s="2">
        <f t="shared" si="29"/>
        <v>485.1</v>
      </c>
    </row>
    <row r="296" spans="1:16">
      <c r="A296" s="1">
        <v>295</v>
      </c>
      <c r="B296" s="1">
        <v>29</v>
      </c>
      <c r="C296" s="1" t="s">
        <v>18</v>
      </c>
      <c r="D296" s="1">
        <v>161</v>
      </c>
      <c r="E296" s="1">
        <v>73.6</v>
      </c>
      <c r="F296" s="1">
        <v>1931</v>
      </c>
      <c r="G296" s="1" t="s">
        <v>20</v>
      </c>
      <c r="H296" s="1">
        <v>1.55</v>
      </c>
      <c r="I296" s="1">
        <v>1.61</v>
      </c>
      <c r="J296" s="1">
        <v>28.393966282165</v>
      </c>
      <c r="K296" t="str">
        <f t="shared" si="24"/>
        <v>缺口过小</v>
      </c>
      <c r="L296" s="2">
        <f t="shared" si="25"/>
        <v>1436.25</v>
      </c>
      <c r="M296" s="2">
        <f t="shared" si="26"/>
        <v>2226.1875</v>
      </c>
      <c r="N296" s="2">
        <f t="shared" si="27"/>
        <v>295.1875</v>
      </c>
      <c r="O296" s="2">
        <f t="shared" si="28"/>
        <v>404.8</v>
      </c>
      <c r="P296" s="2">
        <f t="shared" si="29"/>
        <v>809.6</v>
      </c>
    </row>
    <row r="297" spans="1:16">
      <c r="A297" s="1">
        <v>296</v>
      </c>
      <c r="B297" s="1">
        <v>27</v>
      </c>
      <c r="C297" s="1" t="s">
        <v>16</v>
      </c>
      <c r="D297" s="1">
        <v>178.9</v>
      </c>
      <c r="E297" s="1">
        <v>75.5</v>
      </c>
      <c r="F297" s="1">
        <v>1024</v>
      </c>
      <c r="G297" s="1" t="s">
        <v>21</v>
      </c>
      <c r="H297" s="1">
        <v>1.725</v>
      </c>
      <c r="I297" s="1">
        <v>1.789</v>
      </c>
      <c r="J297" s="1">
        <v>23.5899092678973</v>
      </c>
      <c r="K297" t="str">
        <f t="shared" si="24"/>
        <v>缺口过大</v>
      </c>
      <c r="L297" s="2">
        <f t="shared" si="25"/>
        <v>1743.125</v>
      </c>
      <c r="M297" s="2">
        <f t="shared" si="26"/>
        <v>3006.890625</v>
      </c>
      <c r="N297" s="2">
        <f t="shared" si="27"/>
        <v>1982.890625</v>
      </c>
      <c r="O297" s="2">
        <f t="shared" si="28"/>
        <v>415.25</v>
      </c>
      <c r="P297" s="2">
        <f t="shared" si="29"/>
        <v>830.5</v>
      </c>
    </row>
    <row r="298" spans="1:16">
      <c r="A298" s="1">
        <v>297</v>
      </c>
      <c r="B298" s="1">
        <v>32</v>
      </c>
      <c r="C298" s="1" t="s">
        <v>16</v>
      </c>
      <c r="D298" s="1">
        <v>186.2</v>
      </c>
      <c r="E298" s="1">
        <v>110.8</v>
      </c>
      <c r="F298" s="1">
        <v>1512</v>
      </c>
      <c r="G298" s="1" t="s">
        <v>20</v>
      </c>
      <c r="H298" s="1">
        <v>1.55</v>
      </c>
      <c r="I298" s="1">
        <v>1.86199999999999</v>
      </c>
      <c r="J298" s="1">
        <v>31.9580599496285</v>
      </c>
      <c r="K298" t="str">
        <f t="shared" si="24"/>
        <v>缺口过大</v>
      </c>
      <c r="L298" s="2">
        <f t="shared" si="25"/>
        <v>2116.75</v>
      </c>
      <c r="M298" s="2">
        <f t="shared" si="26"/>
        <v>3280.9625</v>
      </c>
      <c r="N298" s="2">
        <f t="shared" si="27"/>
        <v>1768.9625</v>
      </c>
      <c r="O298" s="2">
        <f t="shared" si="28"/>
        <v>609.4</v>
      </c>
      <c r="P298" s="2">
        <f t="shared" si="29"/>
        <v>1218.8</v>
      </c>
    </row>
    <row r="299" spans="1:16">
      <c r="A299" s="1">
        <v>298</v>
      </c>
      <c r="B299" s="1">
        <v>33</v>
      </c>
      <c r="C299" s="1" t="s">
        <v>16</v>
      </c>
      <c r="D299" s="1">
        <v>184</v>
      </c>
      <c r="E299" s="1">
        <v>64.4</v>
      </c>
      <c r="F299" s="1">
        <v>1928</v>
      </c>
      <c r="G299" s="1" t="s">
        <v>20</v>
      </c>
      <c r="H299" s="1">
        <v>1.55</v>
      </c>
      <c r="I299" s="1">
        <v>1.84</v>
      </c>
      <c r="J299" s="1">
        <v>19.0217391304347</v>
      </c>
      <c r="K299" t="str">
        <f t="shared" si="24"/>
        <v>缺口合适</v>
      </c>
      <c r="L299" s="2">
        <f t="shared" si="25"/>
        <v>1634</v>
      </c>
      <c r="M299" s="2">
        <f t="shared" si="26"/>
        <v>2532.7</v>
      </c>
      <c r="N299" s="2">
        <f t="shared" si="27"/>
        <v>604.7</v>
      </c>
      <c r="O299" s="2">
        <f t="shared" si="28"/>
        <v>354.2</v>
      </c>
      <c r="P299" s="2">
        <f t="shared" si="29"/>
        <v>708.4</v>
      </c>
    </row>
    <row r="300" spans="1:16">
      <c r="A300" s="1">
        <v>299</v>
      </c>
      <c r="B300" s="1">
        <v>34</v>
      </c>
      <c r="C300" s="1" t="s">
        <v>18</v>
      </c>
      <c r="D300" s="1">
        <v>166</v>
      </c>
      <c r="E300" s="1">
        <v>84.3</v>
      </c>
      <c r="F300" s="1">
        <v>1514</v>
      </c>
      <c r="G300" s="1" t="s">
        <v>19</v>
      </c>
      <c r="H300" s="1">
        <v>1.2</v>
      </c>
      <c r="I300" s="1">
        <v>1.66</v>
      </c>
      <c r="J300" s="1">
        <v>30.5922485121207</v>
      </c>
      <c r="K300" t="str">
        <f t="shared" si="24"/>
        <v>缺口过小</v>
      </c>
      <c r="L300" s="2">
        <f t="shared" si="25"/>
        <v>1549.5</v>
      </c>
      <c r="M300" s="2">
        <f t="shared" si="26"/>
        <v>1859.4</v>
      </c>
      <c r="N300" s="2">
        <f t="shared" si="27"/>
        <v>345.4</v>
      </c>
      <c r="O300" s="2">
        <f t="shared" si="28"/>
        <v>463.65</v>
      </c>
      <c r="P300" s="2">
        <f t="shared" si="29"/>
        <v>927.3</v>
      </c>
    </row>
    <row r="301" spans="1:16">
      <c r="A301" s="1">
        <v>300</v>
      </c>
      <c r="B301" s="1">
        <v>22</v>
      </c>
      <c r="C301" s="1" t="s">
        <v>18</v>
      </c>
      <c r="D301" s="1">
        <v>165.5</v>
      </c>
      <c r="E301" s="1">
        <v>69.7</v>
      </c>
      <c r="F301" s="1">
        <v>1044</v>
      </c>
      <c r="G301" s="1" t="s">
        <v>17</v>
      </c>
      <c r="H301" s="1">
        <v>1.375</v>
      </c>
      <c r="I301" s="1">
        <v>1.655</v>
      </c>
      <c r="J301" s="1">
        <v>25.4470112540046</v>
      </c>
      <c r="K301" t="str">
        <f t="shared" si="24"/>
        <v>缺口过大</v>
      </c>
      <c r="L301" s="2">
        <f t="shared" si="25"/>
        <v>1460.375</v>
      </c>
      <c r="M301" s="2">
        <f t="shared" si="26"/>
        <v>2008.015625</v>
      </c>
      <c r="N301" s="2">
        <f t="shared" si="27"/>
        <v>964.015625</v>
      </c>
      <c r="O301" s="2">
        <f t="shared" si="28"/>
        <v>383.35</v>
      </c>
      <c r="P301" s="2">
        <f t="shared" si="29"/>
        <v>766.7</v>
      </c>
    </row>
    <row r="302" spans="1:16">
      <c r="A302" s="1">
        <v>301</v>
      </c>
      <c r="B302" s="1">
        <v>21</v>
      </c>
      <c r="C302" s="1" t="s">
        <v>18</v>
      </c>
      <c r="D302" s="1">
        <v>166</v>
      </c>
      <c r="E302" s="1">
        <v>104.5</v>
      </c>
      <c r="F302" s="1">
        <v>1896</v>
      </c>
      <c r="G302" s="1" t="s">
        <v>19</v>
      </c>
      <c r="H302" s="1">
        <v>1.2</v>
      </c>
      <c r="I302" s="1">
        <v>1.66</v>
      </c>
      <c r="J302" s="1">
        <v>37.9227754391058</v>
      </c>
      <c r="K302" t="str">
        <f t="shared" si="24"/>
        <v>缺口过小</v>
      </c>
      <c r="L302" s="2">
        <f t="shared" si="25"/>
        <v>1816.5</v>
      </c>
      <c r="M302" s="2">
        <f t="shared" si="26"/>
        <v>2179.8</v>
      </c>
      <c r="N302" s="2">
        <f t="shared" si="27"/>
        <v>283.8</v>
      </c>
      <c r="O302" s="2">
        <f t="shared" si="28"/>
        <v>574.75</v>
      </c>
      <c r="P302" s="2">
        <f t="shared" si="29"/>
        <v>1149.5</v>
      </c>
    </row>
    <row r="303" spans="1:16">
      <c r="A303" s="1">
        <v>302</v>
      </c>
      <c r="B303" s="1">
        <v>34</v>
      </c>
      <c r="C303" s="1" t="s">
        <v>18</v>
      </c>
      <c r="D303" s="1">
        <v>169.4</v>
      </c>
      <c r="E303" s="1">
        <v>115.8</v>
      </c>
      <c r="F303" s="1">
        <v>2351</v>
      </c>
      <c r="G303" s="1" t="s">
        <v>19</v>
      </c>
      <c r="H303" s="1">
        <v>1.2</v>
      </c>
      <c r="I303" s="1">
        <v>1.694</v>
      </c>
      <c r="J303" s="1">
        <v>40.3535500669771</v>
      </c>
      <c r="K303" t="str">
        <f t="shared" si="24"/>
        <v>没有热量缺口</v>
      </c>
      <c r="L303" s="2">
        <f t="shared" si="25"/>
        <v>1885.75</v>
      </c>
      <c r="M303" s="2">
        <f t="shared" si="26"/>
        <v>2262.9</v>
      </c>
      <c r="N303" s="2">
        <f t="shared" si="27"/>
        <v>-88.0999999999999</v>
      </c>
      <c r="O303" s="2">
        <f t="shared" si="28"/>
        <v>636.9</v>
      </c>
      <c r="P303" s="2">
        <f t="shared" si="29"/>
        <v>1273.8</v>
      </c>
    </row>
    <row r="304" spans="1:16">
      <c r="A304" s="1">
        <v>303</v>
      </c>
      <c r="B304" s="1">
        <v>33</v>
      </c>
      <c r="C304" s="1" t="s">
        <v>16</v>
      </c>
      <c r="D304" s="1">
        <v>168.9</v>
      </c>
      <c r="E304" s="1">
        <v>97.2</v>
      </c>
      <c r="F304" s="1">
        <v>682</v>
      </c>
      <c r="G304" s="1" t="s">
        <v>17</v>
      </c>
      <c r="H304" s="1">
        <v>1.375</v>
      </c>
      <c r="I304" s="1">
        <v>1.689</v>
      </c>
      <c r="J304" s="1">
        <v>34.0727326647085</v>
      </c>
      <c r="K304" t="str">
        <f t="shared" si="24"/>
        <v>缺口过大</v>
      </c>
      <c r="L304" s="2">
        <f t="shared" si="25"/>
        <v>1867.625</v>
      </c>
      <c r="M304" s="2">
        <f t="shared" si="26"/>
        <v>2567.984375</v>
      </c>
      <c r="N304" s="2">
        <f t="shared" si="27"/>
        <v>1885.984375</v>
      </c>
      <c r="O304" s="2">
        <f t="shared" si="28"/>
        <v>534.6</v>
      </c>
      <c r="P304" s="2">
        <f t="shared" si="29"/>
        <v>1069.2</v>
      </c>
    </row>
    <row r="305" spans="1:16">
      <c r="A305" s="1">
        <v>304</v>
      </c>
      <c r="B305" s="1">
        <v>22</v>
      </c>
      <c r="C305" s="1" t="s">
        <v>16</v>
      </c>
      <c r="D305" s="1">
        <v>176.2</v>
      </c>
      <c r="E305" s="1">
        <v>82.8</v>
      </c>
      <c r="F305" s="1">
        <v>2510</v>
      </c>
      <c r="G305" s="1" t="s">
        <v>21</v>
      </c>
      <c r="H305" s="1">
        <v>1.725</v>
      </c>
      <c r="I305" s="1">
        <v>1.76199999999999</v>
      </c>
      <c r="J305" s="1">
        <v>26.6697244514991</v>
      </c>
      <c r="K305" t="str">
        <f t="shared" si="24"/>
        <v>缺口合适</v>
      </c>
      <c r="L305" s="2">
        <f t="shared" si="25"/>
        <v>1824.25</v>
      </c>
      <c r="M305" s="2">
        <f t="shared" si="26"/>
        <v>3146.83125</v>
      </c>
      <c r="N305" s="2">
        <f t="shared" si="27"/>
        <v>636.83125</v>
      </c>
      <c r="O305" s="2">
        <f t="shared" si="28"/>
        <v>455.4</v>
      </c>
      <c r="P305" s="2">
        <f t="shared" si="29"/>
        <v>910.8</v>
      </c>
    </row>
    <row r="306" spans="1:16">
      <c r="A306" s="1">
        <v>305</v>
      </c>
      <c r="B306" s="1">
        <v>35</v>
      </c>
      <c r="C306" s="1" t="s">
        <v>18</v>
      </c>
      <c r="D306" s="1">
        <v>177.8</v>
      </c>
      <c r="E306" s="1">
        <v>67.8</v>
      </c>
      <c r="F306" s="1">
        <v>1162</v>
      </c>
      <c r="G306" s="1" t="s">
        <v>20</v>
      </c>
      <c r="H306" s="1">
        <v>1.55</v>
      </c>
      <c r="I306" s="1">
        <v>1.778</v>
      </c>
      <c r="J306" s="1">
        <v>21.4469816694735</v>
      </c>
      <c r="K306" t="str">
        <f t="shared" si="24"/>
        <v>缺口过大</v>
      </c>
      <c r="L306" s="2">
        <f t="shared" si="25"/>
        <v>1453.25</v>
      </c>
      <c r="M306" s="2">
        <f t="shared" si="26"/>
        <v>2252.5375</v>
      </c>
      <c r="N306" s="2">
        <f t="shared" si="27"/>
        <v>1090.5375</v>
      </c>
      <c r="O306" s="2">
        <f t="shared" si="28"/>
        <v>372.9</v>
      </c>
      <c r="P306" s="2">
        <f t="shared" si="29"/>
        <v>745.8</v>
      </c>
    </row>
    <row r="307" spans="1:16">
      <c r="A307" s="1">
        <v>306</v>
      </c>
      <c r="B307" s="1">
        <v>30</v>
      </c>
      <c r="C307" s="1" t="s">
        <v>16</v>
      </c>
      <c r="D307" s="1">
        <v>166.3</v>
      </c>
      <c r="E307" s="1">
        <v>124.3</v>
      </c>
      <c r="F307" s="1">
        <v>3458</v>
      </c>
      <c r="G307" s="1" t="s">
        <v>17</v>
      </c>
      <c r="H307" s="1">
        <v>1.375</v>
      </c>
      <c r="I307" s="1">
        <v>1.663</v>
      </c>
      <c r="J307" s="1">
        <v>44.9455428521219</v>
      </c>
      <c r="K307" t="str">
        <f t="shared" si="24"/>
        <v>没有热量缺口</v>
      </c>
      <c r="L307" s="2">
        <f t="shared" si="25"/>
        <v>2137.375</v>
      </c>
      <c r="M307" s="2">
        <f t="shared" si="26"/>
        <v>2938.890625</v>
      </c>
      <c r="N307" s="2">
        <f t="shared" si="27"/>
        <v>-519.109375</v>
      </c>
      <c r="O307" s="2">
        <f t="shared" si="28"/>
        <v>683.65</v>
      </c>
      <c r="P307" s="2">
        <f t="shared" si="29"/>
        <v>1367.3</v>
      </c>
    </row>
    <row r="308" spans="1:16">
      <c r="A308" s="1">
        <v>307</v>
      </c>
      <c r="B308" s="1">
        <v>22</v>
      </c>
      <c r="C308" s="1" t="s">
        <v>16</v>
      </c>
      <c r="D308" s="1">
        <v>170.4</v>
      </c>
      <c r="E308" s="1">
        <v>56.6</v>
      </c>
      <c r="F308" s="1">
        <v>3901</v>
      </c>
      <c r="G308" s="1" t="s">
        <v>21</v>
      </c>
      <c r="H308" s="1">
        <v>1.725</v>
      </c>
      <c r="I308" s="1">
        <v>1.704</v>
      </c>
      <c r="J308" s="1">
        <v>19.4929357049968</v>
      </c>
      <c r="K308" t="str">
        <f t="shared" si="24"/>
        <v>没有热量缺口</v>
      </c>
      <c r="L308" s="2">
        <f t="shared" si="25"/>
        <v>1526</v>
      </c>
      <c r="M308" s="2">
        <f t="shared" si="26"/>
        <v>2632.35</v>
      </c>
      <c r="N308" s="2">
        <f t="shared" si="27"/>
        <v>-1268.65</v>
      </c>
      <c r="O308" s="2">
        <f t="shared" si="28"/>
        <v>311.3</v>
      </c>
      <c r="P308" s="2">
        <f t="shared" si="29"/>
        <v>622.6</v>
      </c>
    </row>
    <row r="309" spans="1:16">
      <c r="A309" s="1">
        <v>308</v>
      </c>
      <c r="B309" s="1">
        <v>32</v>
      </c>
      <c r="C309" s="1" t="s">
        <v>16</v>
      </c>
      <c r="D309" s="1">
        <v>179.9</v>
      </c>
      <c r="E309" s="1">
        <v>70.6</v>
      </c>
      <c r="F309" s="1">
        <v>2547</v>
      </c>
      <c r="G309" s="1" t="s">
        <v>17</v>
      </c>
      <c r="H309" s="1">
        <v>1.375</v>
      </c>
      <c r="I309" s="1">
        <v>1.799</v>
      </c>
      <c r="J309" s="1">
        <v>21.8143548960712</v>
      </c>
      <c r="K309" t="str">
        <f t="shared" si="24"/>
        <v>没有热量缺口</v>
      </c>
      <c r="L309" s="2">
        <f t="shared" si="25"/>
        <v>1675.375</v>
      </c>
      <c r="M309" s="2">
        <f t="shared" si="26"/>
        <v>2303.640625</v>
      </c>
      <c r="N309" s="2">
        <f t="shared" si="27"/>
        <v>-243.359375</v>
      </c>
      <c r="O309" s="2">
        <f t="shared" si="28"/>
        <v>388.3</v>
      </c>
      <c r="P309" s="2">
        <f t="shared" si="29"/>
        <v>776.6</v>
      </c>
    </row>
    <row r="310" spans="1:16">
      <c r="A310" s="1">
        <v>309</v>
      </c>
      <c r="B310" s="1">
        <v>34</v>
      </c>
      <c r="C310" s="1" t="s">
        <v>16</v>
      </c>
      <c r="D310" s="1">
        <v>175.6</v>
      </c>
      <c r="E310" s="1">
        <v>96.2</v>
      </c>
      <c r="F310" s="1">
        <v>2322</v>
      </c>
      <c r="G310" s="1" t="s">
        <v>21</v>
      </c>
      <c r="H310" s="1">
        <v>1.725</v>
      </c>
      <c r="I310" s="1">
        <v>1.756</v>
      </c>
      <c r="J310" s="1">
        <v>31.1979493672199</v>
      </c>
      <c r="K310" t="str">
        <f t="shared" si="24"/>
        <v>缺口合适</v>
      </c>
      <c r="L310" s="2">
        <f t="shared" si="25"/>
        <v>1894.5</v>
      </c>
      <c r="M310" s="2">
        <f t="shared" si="26"/>
        <v>3268.0125</v>
      </c>
      <c r="N310" s="2">
        <f t="shared" si="27"/>
        <v>946.0125</v>
      </c>
      <c r="O310" s="2">
        <f t="shared" si="28"/>
        <v>529.1</v>
      </c>
      <c r="P310" s="2">
        <f t="shared" si="29"/>
        <v>1058.2</v>
      </c>
    </row>
    <row r="311" spans="1:16">
      <c r="A311" s="1">
        <v>310</v>
      </c>
      <c r="B311" s="1">
        <v>35</v>
      </c>
      <c r="C311" s="1" t="s">
        <v>18</v>
      </c>
      <c r="D311" s="1">
        <v>169.7</v>
      </c>
      <c r="E311" s="1">
        <v>88.3</v>
      </c>
      <c r="F311" s="1">
        <v>638</v>
      </c>
      <c r="G311" s="1" t="s">
        <v>17</v>
      </c>
      <c r="H311" s="1">
        <v>1.375</v>
      </c>
      <c r="I311" s="1">
        <v>1.69699999999999</v>
      </c>
      <c r="J311" s="1">
        <v>30.6617556928254</v>
      </c>
      <c r="K311" t="str">
        <f t="shared" si="24"/>
        <v>缺口过大</v>
      </c>
      <c r="L311" s="2">
        <f t="shared" si="25"/>
        <v>1607.625</v>
      </c>
      <c r="M311" s="2">
        <f t="shared" si="26"/>
        <v>2210.484375</v>
      </c>
      <c r="N311" s="2">
        <f t="shared" si="27"/>
        <v>1572.484375</v>
      </c>
      <c r="O311" s="2">
        <f t="shared" si="28"/>
        <v>485.65</v>
      </c>
      <c r="P311" s="2">
        <f t="shared" si="29"/>
        <v>971.3</v>
      </c>
    </row>
    <row r="312" spans="1:16">
      <c r="A312" s="1">
        <v>311</v>
      </c>
      <c r="B312" s="1">
        <v>32</v>
      </c>
      <c r="C312" s="1" t="s">
        <v>16</v>
      </c>
      <c r="D312" s="1">
        <v>179.6</v>
      </c>
      <c r="E312" s="1">
        <v>138.1</v>
      </c>
      <c r="F312" s="1">
        <v>1599</v>
      </c>
      <c r="G312" s="1" t="s">
        <v>17</v>
      </c>
      <c r="H312" s="1">
        <v>1.375</v>
      </c>
      <c r="I312" s="1">
        <v>1.796</v>
      </c>
      <c r="J312" s="1">
        <v>42.813527710676</v>
      </c>
      <c r="K312" t="str">
        <f t="shared" si="24"/>
        <v>缺口过大</v>
      </c>
      <c r="L312" s="2">
        <f t="shared" si="25"/>
        <v>2348.5</v>
      </c>
      <c r="M312" s="2">
        <f t="shared" si="26"/>
        <v>3229.1875</v>
      </c>
      <c r="N312" s="2">
        <f t="shared" si="27"/>
        <v>1630.1875</v>
      </c>
      <c r="O312" s="2">
        <f t="shared" si="28"/>
        <v>759.55</v>
      </c>
      <c r="P312" s="2">
        <f t="shared" si="29"/>
        <v>1519.1</v>
      </c>
    </row>
    <row r="313" spans="1:16">
      <c r="A313" s="1">
        <v>312</v>
      </c>
      <c r="B313" s="1">
        <v>35</v>
      </c>
      <c r="C313" s="1" t="s">
        <v>18</v>
      </c>
      <c r="D313" s="1">
        <v>161.5</v>
      </c>
      <c r="E313" s="1">
        <v>51.6</v>
      </c>
      <c r="F313" s="1">
        <v>2797</v>
      </c>
      <c r="G313" s="1" t="s">
        <v>17</v>
      </c>
      <c r="H313" s="1">
        <v>1.375</v>
      </c>
      <c r="I313" s="1">
        <v>1.615</v>
      </c>
      <c r="J313" s="1">
        <v>19.7835692856252</v>
      </c>
      <c r="K313" t="str">
        <f t="shared" si="24"/>
        <v>没有热量缺口</v>
      </c>
      <c r="L313" s="2">
        <f t="shared" si="25"/>
        <v>1189.375</v>
      </c>
      <c r="M313" s="2">
        <f t="shared" si="26"/>
        <v>1635.390625</v>
      </c>
      <c r="N313" s="2">
        <f t="shared" si="27"/>
        <v>-1161.609375</v>
      </c>
      <c r="O313" s="2">
        <f t="shared" si="28"/>
        <v>283.8</v>
      </c>
      <c r="P313" s="2">
        <f t="shared" si="29"/>
        <v>567.6</v>
      </c>
    </row>
    <row r="314" spans="1:16">
      <c r="A314" s="1">
        <v>313</v>
      </c>
      <c r="B314" s="1">
        <v>23</v>
      </c>
      <c r="C314" s="1" t="s">
        <v>18</v>
      </c>
      <c r="D314" s="1">
        <v>162.6</v>
      </c>
      <c r="E314" s="1">
        <v>59.9</v>
      </c>
      <c r="F314" s="1">
        <v>2974</v>
      </c>
      <c r="G314" s="1" t="s">
        <v>21</v>
      </c>
      <c r="H314" s="1">
        <v>1.725</v>
      </c>
      <c r="I314" s="1">
        <v>1.626</v>
      </c>
      <c r="J314" s="1">
        <v>22.6561306203467</v>
      </c>
      <c r="K314" t="str">
        <f t="shared" si="24"/>
        <v>没有热量缺口</v>
      </c>
      <c r="L314" s="2">
        <f t="shared" si="25"/>
        <v>1339.25</v>
      </c>
      <c r="M314" s="2">
        <f t="shared" si="26"/>
        <v>2310.20625</v>
      </c>
      <c r="N314" s="2">
        <f t="shared" si="27"/>
        <v>-663.79375</v>
      </c>
      <c r="O314" s="2">
        <f t="shared" si="28"/>
        <v>329.45</v>
      </c>
      <c r="P314" s="2">
        <f t="shared" si="29"/>
        <v>658.9</v>
      </c>
    </row>
    <row r="315" spans="1:16">
      <c r="A315" s="1">
        <v>314</v>
      </c>
      <c r="B315" s="1">
        <v>32</v>
      </c>
      <c r="C315" s="1" t="s">
        <v>16</v>
      </c>
      <c r="D315" s="1">
        <v>181</v>
      </c>
      <c r="E315" s="1">
        <v>88.6</v>
      </c>
      <c r="F315" s="1">
        <v>2249</v>
      </c>
      <c r="G315" s="1" t="s">
        <v>21</v>
      </c>
      <c r="H315" s="1">
        <v>1.725</v>
      </c>
      <c r="I315" s="1">
        <v>1.81</v>
      </c>
      <c r="J315" s="1">
        <v>27.0443515155215</v>
      </c>
      <c r="K315" t="str">
        <f t="shared" si="24"/>
        <v>缺口合适</v>
      </c>
      <c r="L315" s="2">
        <f t="shared" si="25"/>
        <v>1862.25</v>
      </c>
      <c r="M315" s="2">
        <f t="shared" si="26"/>
        <v>3212.38125</v>
      </c>
      <c r="N315" s="2">
        <f t="shared" si="27"/>
        <v>963.38125</v>
      </c>
      <c r="O315" s="2">
        <f t="shared" si="28"/>
        <v>487.3</v>
      </c>
      <c r="P315" s="2">
        <f t="shared" si="29"/>
        <v>974.6</v>
      </c>
    </row>
    <row r="316" spans="1:16">
      <c r="A316" s="1">
        <v>315</v>
      </c>
      <c r="B316" s="1">
        <v>35</v>
      </c>
      <c r="C316" s="1" t="s">
        <v>18</v>
      </c>
      <c r="D316" s="1">
        <v>166.9</v>
      </c>
      <c r="E316" s="1">
        <v>74.1</v>
      </c>
      <c r="F316" s="1">
        <v>1930</v>
      </c>
      <c r="G316" s="1" t="s">
        <v>21</v>
      </c>
      <c r="H316" s="1">
        <v>1.725</v>
      </c>
      <c r="I316" s="1">
        <v>1.669</v>
      </c>
      <c r="J316" s="1">
        <v>26.6014637625957</v>
      </c>
      <c r="K316" t="str">
        <f t="shared" si="24"/>
        <v>缺口合适</v>
      </c>
      <c r="L316" s="2">
        <f t="shared" si="25"/>
        <v>1448.125</v>
      </c>
      <c r="M316" s="2">
        <f t="shared" si="26"/>
        <v>2498.015625</v>
      </c>
      <c r="N316" s="2">
        <f t="shared" si="27"/>
        <v>568.015625</v>
      </c>
      <c r="O316" s="2">
        <f t="shared" si="28"/>
        <v>407.55</v>
      </c>
      <c r="P316" s="2">
        <f t="shared" si="29"/>
        <v>815.1</v>
      </c>
    </row>
    <row r="317" spans="1:16">
      <c r="A317" s="1">
        <v>316</v>
      </c>
      <c r="B317" s="1">
        <v>31</v>
      </c>
      <c r="C317" s="1" t="s">
        <v>18</v>
      </c>
      <c r="D317" s="1">
        <v>156.5</v>
      </c>
      <c r="E317" s="1">
        <v>79</v>
      </c>
      <c r="F317" s="1">
        <v>1444</v>
      </c>
      <c r="G317" s="1" t="s">
        <v>17</v>
      </c>
      <c r="H317" s="1">
        <v>1.375</v>
      </c>
      <c r="I317" s="1">
        <v>1.565</v>
      </c>
      <c r="J317" s="1">
        <v>32.2551011034102</v>
      </c>
      <c r="K317" t="str">
        <f t="shared" si="24"/>
        <v>缺口合适</v>
      </c>
      <c r="L317" s="2">
        <f t="shared" si="25"/>
        <v>1452.125</v>
      </c>
      <c r="M317" s="2">
        <f t="shared" si="26"/>
        <v>1996.671875</v>
      </c>
      <c r="N317" s="2">
        <f t="shared" si="27"/>
        <v>552.671875</v>
      </c>
      <c r="O317" s="2">
        <f t="shared" si="28"/>
        <v>434.5</v>
      </c>
      <c r="P317" s="2">
        <f t="shared" si="29"/>
        <v>869</v>
      </c>
    </row>
    <row r="318" spans="1:16">
      <c r="A318" s="1">
        <v>317</v>
      </c>
      <c r="B318" s="1">
        <v>21</v>
      </c>
      <c r="C318" s="1" t="s">
        <v>16</v>
      </c>
      <c r="D318" s="1">
        <v>173.5</v>
      </c>
      <c r="E318" s="1">
        <v>109.5</v>
      </c>
      <c r="F318" s="1">
        <v>1918</v>
      </c>
      <c r="G318" s="1" t="s">
        <v>21</v>
      </c>
      <c r="H318" s="1">
        <v>1.725</v>
      </c>
      <c r="I318" s="1">
        <v>1.735</v>
      </c>
      <c r="J318" s="1">
        <v>36.3760184039399</v>
      </c>
      <c r="K318" t="str">
        <f t="shared" si="24"/>
        <v>缺口过大</v>
      </c>
      <c r="L318" s="2">
        <f t="shared" si="25"/>
        <v>2079.375</v>
      </c>
      <c r="M318" s="2">
        <f t="shared" si="26"/>
        <v>3586.921875</v>
      </c>
      <c r="N318" s="2">
        <f t="shared" si="27"/>
        <v>1668.921875</v>
      </c>
      <c r="O318" s="2">
        <f t="shared" si="28"/>
        <v>602.25</v>
      </c>
      <c r="P318" s="2">
        <f t="shared" si="29"/>
        <v>1204.5</v>
      </c>
    </row>
    <row r="319" spans="1:16">
      <c r="A319" s="1">
        <v>318</v>
      </c>
      <c r="B319" s="1">
        <v>34</v>
      </c>
      <c r="C319" s="1" t="s">
        <v>18</v>
      </c>
      <c r="D319" s="1">
        <v>165.4</v>
      </c>
      <c r="E319" s="1">
        <v>79.1</v>
      </c>
      <c r="F319" s="1">
        <v>1327</v>
      </c>
      <c r="G319" s="1" t="s">
        <v>20</v>
      </c>
      <c r="H319" s="1">
        <v>1.55</v>
      </c>
      <c r="I319" s="1">
        <v>1.654</v>
      </c>
      <c r="J319" s="1">
        <v>28.9138200017838</v>
      </c>
      <c r="K319" t="str">
        <f t="shared" si="24"/>
        <v>缺口过大</v>
      </c>
      <c r="L319" s="2">
        <f t="shared" si="25"/>
        <v>1493.75</v>
      </c>
      <c r="M319" s="2">
        <f t="shared" si="26"/>
        <v>2315.3125</v>
      </c>
      <c r="N319" s="2">
        <f t="shared" si="27"/>
        <v>988.3125</v>
      </c>
      <c r="O319" s="2">
        <f t="shared" si="28"/>
        <v>435.05</v>
      </c>
      <c r="P319" s="2">
        <f t="shared" si="29"/>
        <v>870.1</v>
      </c>
    </row>
    <row r="320" spans="1:16">
      <c r="A320" s="1">
        <v>319</v>
      </c>
      <c r="B320" s="1">
        <v>30</v>
      </c>
      <c r="C320" s="1" t="s">
        <v>16</v>
      </c>
      <c r="D320" s="1">
        <v>176.8</v>
      </c>
      <c r="E320" s="1">
        <v>98.8</v>
      </c>
      <c r="F320" s="1">
        <v>3547</v>
      </c>
      <c r="G320" s="1" t="s">
        <v>19</v>
      </c>
      <c r="H320" s="1">
        <v>1.2</v>
      </c>
      <c r="I320" s="1">
        <v>1.768</v>
      </c>
      <c r="J320" s="1">
        <v>31.6076656907106</v>
      </c>
      <c r="K320" t="str">
        <f t="shared" si="24"/>
        <v>没有热量缺口</v>
      </c>
      <c r="L320" s="2">
        <f t="shared" si="25"/>
        <v>1948</v>
      </c>
      <c r="M320" s="2">
        <f t="shared" si="26"/>
        <v>2337.6</v>
      </c>
      <c r="N320" s="2">
        <f t="shared" si="27"/>
        <v>-1209.4</v>
      </c>
      <c r="O320" s="2">
        <f t="shared" si="28"/>
        <v>543.4</v>
      </c>
      <c r="P320" s="2">
        <f t="shared" si="29"/>
        <v>1086.8</v>
      </c>
    </row>
    <row r="321" spans="1:16">
      <c r="A321" s="1">
        <v>320</v>
      </c>
      <c r="B321" s="1">
        <v>28</v>
      </c>
      <c r="C321" s="1" t="s">
        <v>18</v>
      </c>
      <c r="D321" s="1">
        <v>166.6</v>
      </c>
      <c r="E321" s="1">
        <v>55.6</v>
      </c>
      <c r="F321" s="1">
        <v>1871</v>
      </c>
      <c r="G321" s="1" t="s">
        <v>19</v>
      </c>
      <c r="H321" s="1">
        <v>1.2</v>
      </c>
      <c r="I321" s="1">
        <v>1.666</v>
      </c>
      <c r="J321" s="1">
        <v>20.0320224128066</v>
      </c>
      <c r="K321" t="str">
        <f t="shared" si="24"/>
        <v>没有热量缺口</v>
      </c>
      <c r="L321" s="2">
        <f t="shared" si="25"/>
        <v>1296.25</v>
      </c>
      <c r="M321" s="2">
        <f t="shared" si="26"/>
        <v>1555.5</v>
      </c>
      <c r="N321" s="2">
        <f t="shared" si="27"/>
        <v>-315.5</v>
      </c>
      <c r="O321" s="2">
        <f t="shared" si="28"/>
        <v>305.8</v>
      </c>
      <c r="P321" s="2">
        <f t="shared" si="29"/>
        <v>611.6</v>
      </c>
    </row>
    <row r="322" spans="1:16">
      <c r="A322" s="1">
        <v>321</v>
      </c>
      <c r="B322" s="1">
        <v>34</v>
      </c>
      <c r="C322" s="1" t="s">
        <v>16</v>
      </c>
      <c r="D322" s="1">
        <v>169.5</v>
      </c>
      <c r="E322" s="1">
        <v>93.4</v>
      </c>
      <c r="F322" s="1">
        <v>1886</v>
      </c>
      <c r="G322" s="1" t="s">
        <v>21</v>
      </c>
      <c r="H322" s="1">
        <v>1.725</v>
      </c>
      <c r="I322" s="1">
        <v>1.695</v>
      </c>
      <c r="J322" s="1">
        <v>32.5092889898277</v>
      </c>
      <c r="K322" t="str">
        <f t="shared" ref="K322:K385" si="30">IF(N322&lt;=0,"没有热量缺口",IF(N322&lt;O322,"缺口过小",IF(N322&lt;=P322,"缺口合适","缺口过大")))</f>
        <v>缺口过大</v>
      </c>
      <c r="L322" s="2">
        <f t="shared" ref="L322:L385" si="31">IF(C322="male",10*E322+6.25*D322-5*B322+5,10*E322+6.25*D322-5*B322-161)</f>
        <v>1828.375</v>
      </c>
      <c r="M322" s="2">
        <f t="shared" ref="M322:M385" si="32">L322*H322</f>
        <v>3153.946875</v>
      </c>
      <c r="N322" s="2">
        <f t="shared" ref="N322:N385" si="33">M322-F322</f>
        <v>1267.946875</v>
      </c>
      <c r="O322" s="2">
        <f t="shared" ref="O322:O385" si="34">E322*0.005*7700/7</f>
        <v>513.7</v>
      </c>
      <c r="P322" s="2">
        <f t="shared" ref="P322:P385" si="35">E322*0.01*7700/7</f>
        <v>1027.4</v>
      </c>
    </row>
    <row r="323" spans="1:16">
      <c r="A323" s="1">
        <v>322</v>
      </c>
      <c r="B323" s="1">
        <v>34</v>
      </c>
      <c r="C323" s="1" t="s">
        <v>18</v>
      </c>
      <c r="D323" s="1">
        <v>172.2</v>
      </c>
      <c r="E323" s="1">
        <v>106.1</v>
      </c>
      <c r="F323" s="1">
        <v>912</v>
      </c>
      <c r="G323" s="1" t="s">
        <v>21</v>
      </c>
      <c r="H323" s="1">
        <v>1.725</v>
      </c>
      <c r="I323" s="1">
        <v>1.722</v>
      </c>
      <c r="J323" s="1">
        <v>35.7807211720698</v>
      </c>
      <c r="K323" t="str">
        <f t="shared" si="30"/>
        <v>缺口过大</v>
      </c>
      <c r="L323" s="2">
        <f t="shared" si="31"/>
        <v>1806.25</v>
      </c>
      <c r="M323" s="2">
        <f t="shared" si="32"/>
        <v>3115.78125</v>
      </c>
      <c r="N323" s="2">
        <f t="shared" si="33"/>
        <v>2203.78125</v>
      </c>
      <c r="O323" s="2">
        <f t="shared" si="34"/>
        <v>583.55</v>
      </c>
      <c r="P323" s="2">
        <f t="shared" si="35"/>
        <v>1167.1</v>
      </c>
    </row>
    <row r="324" spans="1:16">
      <c r="A324" s="1">
        <v>323</v>
      </c>
      <c r="B324" s="1">
        <v>33</v>
      </c>
      <c r="C324" s="1" t="s">
        <v>18</v>
      </c>
      <c r="D324" s="1">
        <v>163.7</v>
      </c>
      <c r="E324" s="1">
        <v>69</v>
      </c>
      <c r="F324" s="1">
        <v>980</v>
      </c>
      <c r="G324" s="1" t="s">
        <v>19</v>
      </c>
      <c r="H324" s="1">
        <v>1.2</v>
      </c>
      <c r="I324" s="1">
        <v>1.63699999999999</v>
      </c>
      <c r="J324" s="1">
        <v>25.7484880226616</v>
      </c>
      <c r="K324" t="str">
        <f t="shared" si="30"/>
        <v>缺口合适</v>
      </c>
      <c r="L324" s="2">
        <f t="shared" si="31"/>
        <v>1387.125</v>
      </c>
      <c r="M324" s="2">
        <f t="shared" si="32"/>
        <v>1664.55</v>
      </c>
      <c r="N324" s="2">
        <f t="shared" si="33"/>
        <v>684.55</v>
      </c>
      <c r="O324" s="2">
        <f t="shared" si="34"/>
        <v>379.5</v>
      </c>
      <c r="P324" s="2">
        <f t="shared" si="35"/>
        <v>759</v>
      </c>
    </row>
    <row r="325" spans="1:16">
      <c r="A325" s="1">
        <v>324</v>
      </c>
      <c r="B325" s="1">
        <v>33</v>
      </c>
      <c r="C325" s="1" t="s">
        <v>18</v>
      </c>
      <c r="D325" s="1">
        <v>167.2</v>
      </c>
      <c r="E325" s="1">
        <v>52.2</v>
      </c>
      <c r="F325" s="1">
        <v>2001</v>
      </c>
      <c r="G325" s="1" t="s">
        <v>21</v>
      </c>
      <c r="H325" s="1">
        <v>1.725</v>
      </c>
      <c r="I325" s="1">
        <v>1.672</v>
      </c>
      <c r="J325" s="1">
        <v>18.6723060369497</v>
      </c>
      <c r="K325" t="str">
        <f t="shared" si="30"/>
        <v>缺口过小</v>
      </c>
      <c r="L325" s="2">
        <f t="shared" si="31"/>
        <v>1241</v>
      </c>
      <c r="M325" s="2">
        <f t="shared" si="32"/>
        <v>2140.725</v>
      </c>
      <c r="N325" s="2">
        <f t="shared" si="33"/>
        <v>139.725</v>
      </c>
      <c r="O325" s="2">
        <f t="shared" si="34"/>
        <v>287.1</v>
      </c>
      <c r="P325" s="2">
        <f t="shared" si="35"/>
        <v>574.2</v>
      </c>
    </row>
    <row r="326" spans="1:16">
      <c r="A326" s="1">
        <v>325</v>
      </c>
      <c r="B326" s="1">
        <v>28</v>
      </c>
      <c r="C326" s="1" t="s">
        <v>18</v>
      </c>
      <c r="D326" s="1">
        <v>163</v>
      </c>
      <c r="E326" s="1">
        <v>71.5</v>
      </c>
      <c r="F326" s="1">
        <v>3865</v>
      </c>
      <c r="G326" s="1" t="s">
        <v>21</v>
      </c>
      <c r="H326" s="1">
        <v>1.725</v>
      </c>
      <c r="I326" s="1">
        <v>1.63</v>
      </c>
      <c r="J326" s="1">
        <v>26.9110617637095</v>
      </c>
      <c r="K326" t="str">
        <f t="shared" si="30"/>
        <v>没有热量缺口</v>
      </c>
      <c r="L326" s="2">
        <f t="shared" si="31"/>
        <v>1432.75</v>
      </c>
      <c r="M326" s="2">
        <f t="shared" si="32"/>
        <v>2471.49375</v>
      </c>
      <c r="N326" s="2">
        <f t="shared" si="33"/>
        <v>-1393.50625</v>
      </c>
      <c r="O326" s="2">
        <f t="shared" si="34"/>
        <v>393.25</v>
      </c>
      <c r="P326" s="2">
        <f t="shared" si="35"/>
        <v>786.5</v>
      </c>
    </row>
    <row r="327" spans="1:16">
      <c r="A327" s="1">
        <v>326</v>
      </c>
      <c r="B327" s="1">
        <v>31</v>
      </c>
      <c r="C327" s="1" t="s">
        <v>16</v>
      </c>
      <c r="D327" s="1">
        <v>180.9</v>
      </c>
      <c r="E327" s="1">
        <v>87.9</v>
      </c>
      <c r="F327" s="1">
        <v>1358</v>
      </c>
      <c r="G327" s="1" t="s">
        <v>21</v>
      </c>
      <c r="H327" s="1">
        <v>1.725</v>
      </c>
      <c r="I327" s="1">
        <v>1.809</v>
      </c>
      <c r="J327" s="1">
        <v>26.8603545750151</v>
      </c>
      <c r="K327" t="str">
        <f t="shared" si="30"/>
        <v>缺口过大</v>
      </c>
      <c r="L327" s="2">
        <f t="shared" si="31"/>
        <v>1859.625</v>
      </c>
      <c r="M327" s="2">
        <f t="shared" si="32"/>
        <v>3207.853125</v>
      </c>
      <c r="N327" s="2">
        <f t="shared" si="33"/>
        <v>1849.853125</v>
      </c>
      <c r="O327" s="2">
        <f t="shared" si="34"/>
        <v>483.45</v>
      </c>
      <c r="P327" s="2">
        <f t="shared" si="35"/>
        <v>966.9</v>
      </c>
    </row>
    <row r="328" spans="1:16">
      <c r="A328" s="1">
        <v>327</v>
      </c>
      <c r="B328" s="1">
        <v>34</v>
      </c>
      <c r="C328" s="1" t="s">
        <v>16</v>
      </c>
      <c r="D328" s="1">
        <v>183.5</v>
      </c>
      <c r="E328" s="1">
        <v>104.1</v>
      </c>
      <c r="F328" s="1">
        <v>1184</v>
      </c>
      <c r="G328" s="1" t="s">
        <v>21</v>
      </c>
      <c r="H328" s="1">
        <v>1.725</v>
      </c>
      <c r="I328" s="1">
        <v>1.835</v>
      </c>
      <c r="J328" s="1">
        <v>30.9156649763529</v>
      </c>
      <c r="K328" t="str">
        <f t="shared" si="30"/>
        <v>缺口过大</v>
      </c>
      <c r="L328" s="2">
        <f t="shared" si="31"/>
        <v>2022.875</v>
      </c>
      <c r="M328" s="2">
        <f t="shared" si="32"/>
        <v>3489.459375</v>
      </c>
      <c r="N328" s="2">
        <f t="shared" si="33"/>
        <v>2305.459375</v>
      </c>
      <c r="O328" s="2">
        <f t="shared" si="34"/>
        <v>572.55</v>
      </c>
      <c r="P328" s="2">
        <f t="shared" si="35"/>
        <v>1145.1</v>
      </c>
    </row>
    <row r="329" spans="1:16">
      <c r="A329" s="1">
        <v>328</v>
      </c>
      <c r="B329" s="1">
        <v>22</v>
      </c>
      <c r="C329" s="1" t="s">
        <v>16</v>
      </c>
      <c r="D329" s="1">
        <v>176.1</v>
      </c>
      <c r="E329" s="1">
        <v>76.7</v>
      </c>
      <c r="F329" s="1">
        <v>1624</v>
      </c>
      <c r="G329" s="1" t="s">
        <v>21</v>
      </c>
      <c r="H329" s="1">
        <v>1.725</v>
      </c>
      <c r="I329" s="1">
        <v>1.761</v>
      </c>
      <c r="J329" s="1">
        <v>24.7329917149314</v>
      </c>
      <c r="K329" t="str">
        <f t="shared" si="30"/>
        <v>缺口过大</v>
      </c>
      <c r="L329" s="2">
        <f t="shared" si="31"/>
        <v>1762.625</v>
      </c>
      <c r="M329" s="2">
        <f t="shared" si="32"/>
        <v>3040.528125</v>
      </c>
      <c r="N329" s="2">
        <f t="shared" si="33"/>
        <v>1416.528125</v>
      </c>
      <c r="O329" s="2">
        <f t="shared" si="34"/>
        <v>421.85</v>
      </c>
      <c r="P329" s="2">
        <f t="shared" si="35"/>
        <v>843.7</v>
      </c>
    </row>
    <row r="330" spans="1:16">
      <c r="A330" s="1">
        <v>329</v>
      </c>
      <c r="B330" s="1">
        <v>29</v>
      </c>
      <c r="C330" s="1" t="s">
        <v>16</v>
      </c>
      <c r="D330" s="1">
        <v>167</v>
      </c>
      <c r="E330" s="1">
        <v>88.5</v>
      </c>
      <c r="F330" s="1">
        <v>3068</v>
      </c>
      <c r="G330" s="1" t="s">
        <v>21</v>
      </c>
      <c r="H330" s="1">
        <v>1.725</v>
      </c>
      <c r="I330" s="1">
        <v>1.67</v>
      </c>
      <c r="J330" s="1">
        <v>31.7329413030227</v>
      </c>
      <c r="K330" t="str">
        <f t="shared" si="30"/>
        <v>缺口过小</v>
      </c>
      <c r="L330" s="2">
        <f t="shared" si="31"/>
        <v>1788.75</v>
      </c>
      <c r="M330" s="2">
        <f t="shared" si="32"/>
        <v>3085.59375</v>
      </c>
      <c r="N330" s="2">
        <f t="shared" si="33"/>
        <v>17.59375</v>
      </c>
      <c r="O330" s="2">
        <f t="shared" si="34"/>
        <v>486.75</v>
      </c>
      <c r="P330" s="2">
        <f t="shared" si="35"/>
        <v>973.5</v>
      </c>
    </row>
    <row r="331" spans="1:16">
      <c r="A331" s="1">
        <v>330</v>
      </c>
      <c r="B331" s="1">
        <v>23</v>
      </c>
      <c r="C331" s="1" t="s">
        <v>16</v>
      </c>
      <c r="D331" s="1">
        <v>187.9</v>
      </c>
      <c r="E331" s="1">
        <v>65.5</v>
      </c>
      <c r="F331" s="1">
        <v>2481</v>
      </c>
      <c r="G331" s="1" t="s">
        <v>17</v>
      </c>
      <c r="H331" s="1">
        <v>1.375</v>
      </c>
      <c r="I331" s="1">
        <v>1.879</v>
      </c>
      <c r="J331" s="1">
        <v>18.5518720255047</v>
      </c>
      <c r="K331" t="str">
        <f t="shared" si="30"/>
        <v>没有热量缺口</v>
      </c>
      <c r="L331" s="2">
        <f t="shared" si="31"/>
        <v>1719.375</v>
      </c>
      <c r="M331" s="2">
        <f t="shared" si="32"/>
        <v>2364.140625</v>
      </c>
      <c r="N331" s="2">
        <f t="shared" si="33"/>
        <v>-116.859375</v>
      </c>
      <c r="O331" s="2">
        <f t="shared" si="34"/>
        <v>360.25</v>
      </c>
      <c r="P331" s="2">
        <f t="shared" si="35"/>
        <v>720.5</v>
      </c>
    </row>
    <row r="332" spans="1:16">
      <c r="A332" s="1">
        <v>331</v>
      </c>
      <c r="B332" s="1">
        <v>29</v>
      </c>
      <c r="C332" s="1" t="s">
        <v>18</v>
      </c>
      <c r="D332" s="1">
        <v>160.9</v>
      </c>
      <c r="E332" s="1">
        <v>60.5</v>
      </c>
      <c r="F332" s="1">
        <v>1707</v>
      </c>
      <c r="G332" s="1" t="s">
        <v>17</v>
      </c>
      <c r="H332" s="1">
        <v>1.375</v>
      </c>
      <c r="I332" s="1">
        <v>1.609</v>
      </c>
      <c r="J332" s="1">
        <v>23.3691699232216</v>
      </c>
      <c r="K332" t="str">
        <f t="shared" si="30"/>
        <v>缺口过小</v>
      </c>
      <c r="L332" s="2">
        <f t="shared" si="31"/>
        <v>1304.625</v>
      </c>
      <c r="M332" s="2">
        <f t="shared" si="32"/>
        <v>1793.859375</v>
      </c>
      <c r="N332" s="2">
        <f t="shared" si="33"/>
        <v>86.859375</v>
      </c>
      <c r="O332" s="2">
        <f t="shared" si="34"/>
        <v>332.75</v>
      </c>
      <c r="P332" s="2">
        <f t="shared" si="35"/>
        <v>665.5</v>
      </c>
    </row>
    <row r="333" spans="1:16">
      <c r="A333" s="1">
        <v>332</v>
      </c>
      <c r="B333" s="1">
        <v>27</v>
      </c>
      <c r="C333" s="1" t="s">
        <v>18</v>
      </c>
      <c r="D333" s="1">
        <v>153.4</v>
      </c>
      <c r="E333" s="1">
        <v>50.8</v>
      </c>
      <c r="F333" s="1">
        <v>1439</v>
      </c>
      <c r="G333" s="1" t="s">
        <v>21</v>
      </c>
      <c r="H333" s="1">
        <v>1.725</v>
      </c>
      <c r="I333" s="1">
        <v>1.534</v>
      </c>
      <c r="J333" s="1">
        <v>21.5880290129511</v>
      </c>
      <c r="K333" t="str">
        <f t="shared" si="30"/>
        <v>缺口过大</v>
      </c>
      <c r="L333" s="2">
        <f t="shared" si="31"/>
        <v>1170.75</v>
      </c>
      <c r="M333" s="2">
        <f t="shared" si="32"/>
        <v>2019.54375</v>
      </c>
      <c r="N333" s="2">
        <f t="shared" si="33"/>
        <v>580.54375</v>
      </c>
      <c r="O333" s="2">
        <f t="shared" si="34"/>
        <v>279.4</v>
      </c>
      <c r="P333" s="2">
        <f t="shared" si="35"/>
        <v>558.8</v>
      </c>
    </row>
    <row r="334" spans="1:16">
      <c r="A334" s="1">
        <v>333</v>
      </c>
      <c r="B334" s="1">
        <v>31</v>
      </c>
      <c r="C334" s="1" t="s">
        <v>18</v>
      </c>
      <c r="D334" s="1">
        <v>171.8</v>
      </c>
      <c r="E334" s="1">
        <v>80</v>
      </c>
      <c r="F334" s="1">
        <v>2890</v>
      </c>
      <c r="G334" s="1" t="s">
        <v>17</v>
      </c>
      <c r="H334" s="1">
        <v>1.375</v>
      </c>
      <c r="I334" s="1">
        <v>1.718</v>
      </c>
      <c r="J334" s="1">
        <v>27.1046415343395</v>
      </c>
      <c r="K334" t="str">
        <f t="shared" si="30"/>
        <v>没有热量缺口</v>
      </c>
      <c r="L334" s="2">
        <f t="shared" si="31"/>
        <v>1557.75</v>
      </c>
      <c r="M334" s="2">
        <f t="shared" si="32"/>
        <v>2141.90625</v>
      </c>
      <c r="N334" s="2">
        <f t="shared" si="33"/>
        <v>-748.09375</v>
      </c>
      <c r="O334" s="2">
        <f t="shared" si="34"/>
        <v>440</v>
      </c>
      <c r="P334" s="2">
        <f t="shared" si="35"/>
        <v>880</v>
      </c>
    </row>
    <row r="335" spans="1:16">
      <c r="A335" s="1">
        <v>334</v>
      </c>
      <c r="B335" s="1">
        <v>29</v>
      </c>
      <c r="C335" s="1" t="s">
        <v>16</v>
      </c>
      <c r="D335" s="1">
        <v>166</v>
      </c>
      <c r="E335" s="1">
        <v>72.4</v>
      </c>
      <c r="F335" s="1">
        <v>2260</v>
      </c>
      <c r="G335" s="1" t="s">
        <v>17</v>
      </c>
      <c r="H335" s="1">
        <v>1.375</v>
      </c>
      <c r="I335" s="1">
        <v>1.66</v>
      </c>
      <c r="J335" s="1">
        <v>26.2737697779068</v>
      </c>
      <c r="K335" t="str">
        <f t="shared" si="30"/>
        <v>没有热量缺口</v>
      </c>
      <c r="L335" s="2">
        <f t="shared" si="31"/>
        <v>1621.5</v>
      </c>
      <c r="M335" s="2">
        <f t="shared" si="32"/>
        <v>2229.5625</v>
      </c>
      <c r="N335" s="2">
        <f t="shared" si="33"/>
        <v>-30.4375</v>
      </c>
      <c r="O335" s="2">
        <f t="shared" si="34"/>
        <v>398.2</v>
      </c>
      <c r="P335" s="2">
        <f t="shared" si="35"/>
        <v>796.4</v>
      </c>
    </row>
    <row r="336" spans="1:16">
      <c r="A336" s="1">
        <v>335</v>
      </c>
      <c r="B336" s="1">
        <v>25</v>
      </c>
      <c r="C336" s="1" t="s">
        <v>16</v>
      </c>
      <c r="D336" s="1">
        <v>191.6</v>
      </c>
      <c r="E336" s="1">
        <v>144.9</v>
      </c>
      <c r="F336" s="1">
        <v>2482</v>
      </c>
      <c r="G336" s="1" t="s">
        <v>19</v>
      </c>
      <c r="H336" s="1">
        <v>1.2</v>
      </c>
      <c r="I336" s="1">
        <v>1.916</v>
      </c>
      <c r="J336" s="1">
        <v>39.47093152488</v>
      </c>
      <c r="K336" t="str">
        <f t="shared" si="30"/>
        <v>缺口过小</v>
      </c>
      <c r="L336" s="2">
        <f t="shared" si="31"/>
        <v>2526.5</v>
      </c>
      <c r="M336" s="2">
        <f t="shared" si="32"/>
        <v>3031.8</v>
      </c>
      <c r="N336" s="2">
        <f t="shared" si="33"/>
        <v>549.8</v>
      </c>
      <c r="O336" s="2">
        <f t="shared" si="34"/>
        <v>796.95</v>
      </c>
      <c r="P336" s="2">
        <f t="shared" si="35"/>
        <v>1593.9</v>
      </c>
    </row>
    <row r="337" spans="1:16">
      <c r="A337" s="1">
        <v>336</v>
      </c>
      <c r="B337" s="1">
        <v>26</v>
      </c>
      <c r="C337" s="1" t="s">
        <v>16</v>
      </c>
      <c r="D337" s="1">
        <v>167.4</v>
      </c>
      <c r="E337" s="1">
        <v>52.8</v>
      </c>
      <c r="F337" s="1">
        <v>3736</v>
      </c>
      <c r="G337" s="1" t="s">
        <v>21</v>
      </c>
      <c r="H337" s="1">
        <v>1.725</v>
      </c>
      <c r="I337" s="1">
        <v>1.674</v>
      </c>
      <c r="J337" s="1">
        <v>18.8418271433648</v>
      </c>
      <c r="K337" t="str">
        <f t="shared" si="30"/>
        <v>没有热量缺口</v>
      </c>
      <c r="L337" s="2">
        <f t="shared" si="31"/>
        <v>1449.25</v>
      </c>
      <c r="M337" s="2">
        <f t="shared" si="32"/>
        <v>2499.95625</v>
      </c>
      <c r="N337" s="2">
        <f t="shared" si="33"/>
        <v>-1236.04375</v>
      </c>
      <c r="O337" s="2">
        <f t="shared" si="34"/>
        <v>290.4</v>
      </c>
      <c r="P337" s="2">
        <f t="shared" si="35"/>
        <v>580.8</v>
      </c>
    </row>
    <row r="338" spans="1:16">
      <c r="A338" s="1">
        <v>337</v>
      </c>
      <c r="B338" s="1">
        <v>33</v>
      </c>
      <c r="C338" s="1" t="s">
        <v>18</v>
      </c>
      <c r="D338" s="1">
        <v>153.8</v>
      </c>
      <c r="E338" s="1">
        <v>46.7</v>
      </c>
      <c r="F338" s="1">
        <v>1952</v>
      </c>
      <c r="G338" s="1" t="s">
        <v>17</v>
      </c>
      <c r="H338" s="1">
        <v>1.375</v>
      </c>
      <c r="I338" s="1">
        <v>1.538</v>
      </c>
      <c r="J338" s="1">
        <v>19.7425937794342</v>
      </c>
      <c r="K338" t="str">
        <f t="shared" si="30"/>
        <v>没有热量缺口</v>
      </c>
      <c r="L338" s="2">
        <f t="shared" si="31"/>
        <v>1102.25</v>
      </c>
      <c r="M338" s="2">
        <f t="shared" si="32"/>
        <v>1515.59375</v>
      </c>
      <c r="N338" s="2">
        <f t="shared" si="33"/>
        <v>-436.40625</v>
      </c>
      <c r="O338" s="2">
        <f t="shared" si="34"/>
        <v>256.85</v>
      </c>
      <c r="P338" s="2">
        <f t="shared" si="35"/>
        <v>513.7</v>
      </c>
    </row>
    <row r="339" spans="1:16">
      <c r="A339" s="1">
        <v>338</v>
      </c>
      <c r="B339" s="1">
        <v>23</v>
      </c>
      <c r="C339" s="1" t="s">
        <v>16</v>
      </c>
      <c r="D339" s="1">
        <v>177.1</v>
      </c>
      <c r="E339" s="1">
        <v>82.1</v>
      </c>
      <c r="F339" s="1">
        <v>2809</v>
      </c>
      <c r="G339" s="1" t="s">
        <v>17</v>
      </c>
      <c r="H339" s="1">
        <v>1.375</v>
      </c>
      <c r="I339" s="1">
        <v>1.771</v>
      </c>
      <c r="J339" s="1">
        <v>26.1761659154436</v>
      </c>
      <c r="K339" t="str">
        <f t="shared" si="30"/>
        <v>没有热量缺口</v>
      </c>
      <c r="L339" s="2">
        <f t="shared" si="31"/>
        <v>1817.875</v>
      </c>
      <c r="M339" s="2">
        <f t="shared" si="32"/>
        <v>2499.578125</v>
      </c>
      <c r="N339" s="2">
        <f t="shared" si="33"/>
        <v>-309.421875</v>
      </c>
      <c r="O339" s="2">
        <f t="shared" si="34"/>
        <v>451.55</v>
      </c>
      <c r="P339" s="2">
        <f t="shared" si="35"/>
        <v>903.1</v>
      </c>
    </row>
    <row r="340" spans="1:16">
      <c r="A340" s="1">
        <v>339</v>
      </c>
      <c r="B340" s="1">
        <v>30</v>
      </c>
      <c r="C340" s="1" t="s">
        <v>16</v>
      </c>
      <c r="D340" s="1">
        <v>180.3</v>
      </c>
      <c r="E340" s="1">
        <v>60</v>
      </c>
      <c r="F340" s="1">
        <v>655</v>
      </c>
      <c r="G340" s="1" t="s">
        <v>21</v>
      </c>
      <c r="H340" s="1">
        <v>1.725</v>
      </c>
      <c r="I340" s="1">
        <v>1.803</v>
      </c>
      <c r="J340" s="1">
        <v>18.4569441022219</v>
      </c>
      <c r="K340" t="str">
        <f t="shared" si="30"/>
        <v>缺口过大</v>
      </c>
      <c r="L340" s="2">
        <f t="shared" si="31"/>
        <v>1581.875</v>
      </c>
      <c r="M340" s="2">
        <f t="shared" si="32"/>
        <v>2728.734375</v>
      </c>
      <c r="N340" s="2">
        <f t="shared" si="33"/>
        <v>2073.734375</v>
      </c>
      <c r="O340" s="2">
        <f t="shared" si="34"/>
        <v>330</v>
      </c>
      <c r="P340" s="2">
        <f t="shared" si="35"/>
        <v>660</v>
      </c>
    </row>
    <row r="341" spans="1:16">
      <c r="A341" s="1">
        <v>340</v>
      </c>
      <c r="B341" s="1">
        <v>35</v>
      </c>
      <c r="C341" s="1" t="s">
        <v>16</v>
      </c>
      <c r="D341" s="1">
        <v>184.5</v>
      </c>
      <c r="E341" s="1">
        <v>109.5</v>
      </c>
      <c r="F341" s="1">
        <v>2728</v>
      </c>
      <c r="G341" s="1" t="s">
        <v>20</v>
      </c>
      <c r="H341" s="1">
        <v>1.55</v>
      </c>
      <c r="I341" s="1">
        <v>1.845</v>
      </c>
      <c r="J341" s="1">
        <v>32.1678013528102</v>
      </c>
      <c r="K341" t="str">
        <f t="shared" si="30"/>
        <v>缺口过小</v>
      </c>
      <c r="L341" s="2">
        <f t="shared" si="31"/>
        <v>2078.125</v>
      </c>
      <c r="M341" s="2">
        <f t="shared" si="32"/>
        <v>3221.09375</v>
      </c>
      <c r="N341" s="2">
        <f t="shared" si="33"/>
        <v>493.09375</v>
      </c>
      <c r="O341" s="2">
        <f t="shared" si="34"/>
        <v>602.25</v>
      </c>
      <c r="P341" s="2">
        <f t="shared" si="35"/>
        <v>1204.5</v>
      </c>
    </row>
    <row r="342" spans="1:16">
      <c r="A342" s="1">
        <v>341</v>
      </c>
      <c r="B342" s="1">
        <v>31</v>
      </c>
      <c r="C342" s="1" t="s">
        <v>18</v>
      </c>
      <c r="D342" s="1">
        <v>153.9</v>
      </c>
      <c r="E342" s="1">
        <v>51.7</v>
      </c>
      <c r="F342" s="1">
        <v>1560</v>
      </c>
      <c r="G342" s="1" t="s">
        <v>17</v>
      </c>
      <c r="H342" s="1">
        <v>1.375</v>
      </c>
      <c r="I342" s="1">
        <v>1.539</v>
      </c>
      <c r="J342" s="1">
        <v>21.8279677486498</v>
      </c>
      <c r="K342" t="str">
        <f t="shared" si="30"/>
        <v>缺口过小</v>
      </c>
      <c r="L342" s="2">
        <f t="shared" si="31"/>
        <v>1162.875</v>
      </c>
      <c r="M342" s="2">
        <f t="shared" si="32"/>
        <v>1598.953125</v>
      </c>
      <c r="N342" s="2">
        <f t="shared" si="33"/>
        <v>38.953125</v>
      </c>
      <c r="O342" s="2">
        <f t="shared" si="34"/>
        <v>284.35</v>
      </c>
      <c r="P342" s="2">
        <f t="shared" si="35"/>
        <v>568.7</v>
      </c>
    </row>
    <row r="343" spans="1:16">
      <c r="A343" s="1">
        <v>342</v>
      </c>
      <c r="B343" s="1">
        <v>21</v>
      </c>
      <c r="C343" s="1" t="s">
        <v>18</v>
      </c>
      <c r="D343" s="1">
        <v>175.8</v>
      </c>
      <c r="E343" s="1">
        <v>78.6</v>
      </c>
      <c r="F343" s="1">
        <v>1976</v>
      </c>
      <c r="G343" s="1" t="s">
        <v>21</v>
      </c>
      <c r="H343" s="1">
        <v>1.725</v>
      </c>
      <c r="I343" s="1">
        <v>1.758</v>
      </c>
      <c r="J343" s="1">
        <v>25.4322512007517</v>
      </c>
      <c r="K343" t="str">
        <f t="shared" si="30"/>
        <v>缺口合适</v>
      </c>
      <c r="L343" s="2">
        <f t="shared" si="31"/>
        <v>1618.75</v>
      </c>
      <c r="M343" s="2">
        <f t="shared" si="32"/>
        <v>2792.34375</v>
      </c>
      <c r="N343" s="2">
        <f t="shared" si="33"/>
        <v>816.34375</v>
      </c>
      <c r="O343" s="2">
        <f t="shared" si="34"/>
        <v>432.3</v>
      </c>
      <c r="P343" s="2">
        <f t="shared" si="35"/>
        <v>864.6</v>
      </c>
    </row>
    <row r="344" spans="1:16">
      <c r="A344" s="1">
        <v>343</v>
      </c>
      <c r="B344" s="1">
        <v>27</v>
      </c>
      <c r="C344" s="1" t="s">
        <v>18</v>
      </c>
      <c r="D344" s="1">
        <v>165.8</v>
      </c>
      <c r="E344" s="1">
        <v>114.3</v>
      </c>
      <c r="F344" s="1">
        <v>548</v>
      </c>
      <c r="G344" s="1" t="s">
        <v>19</v>
      </c>
      <c r="H344" s="1">
        <v>1.2</v>
      </c>
      <c r="I344" s="1">
        <v>1.658</v>
      </c>
      <c r="J344" s="1">
        <v>41.5793004200855</v>
      </c>
      <c r="K344" t="str">
        <f t="shared" si="30"/>
        <v>缺口过大</v>
      </c>
      <c r="L344" s="2">
        <f t="shared" si="31"/>
        <v>1883.25</v>
      </c>
      <c r="M344" s="2">
        <f t="shared" si="32"/>
        <v>2259.9</v>
      </c>
      <c r="N344" s="2">
        <f t="shared" si="33"/>
        <v>1711.9</v>
      </c>
      <c r="O344" s="2">
        <f t="shared" si="34"/>
        <v>628.65</v>
      </c>
      <c r="P344" s="2">
        <f t="shared" si="35"/>
        <v>1257.3</v>
      </c>
    </row>
    <row r="345" spans="1:16">
      <c r="A345" s="1">
        <v>344</v>
      </c>
      <c r="B345" s="1">
        <v>29</v>
      </c>
      <c r="C345" s="1" t="s">
        <v>16</v>
      </c>
      <c r="D345" s="1">
        <v>168.5</v>
      </c>
      <c r="E345" s="1">
        <v>58.2</v>
      </c>
      <c r="F345" s="1">
        <v>2289</v>
      </c>
      <c r="G345" s="1" t="s">
        <v>19</v>
      </c>
      <c r="H345" s="1">
        <v>1.2</v>
      </c>
      <c r="I345" s="1">
        <v>1.685</v>
      </c>
      <c r="J345" s="1">
        <v>20.4985515413537</v>
      </c>
      <c r="K345" t="str">
        <f t="shared" si="30"/>
        <v>没有热量缺口</v>
      </c>
      <c r="L345" s="2">
        <f t="shared" si="31"/>
        <v>1495.125</v>
      </c>
      <c r="M345" s="2">
        <f t="shared" si="32"/>
        <v>1794.15</v>
      </c>
      <c r="N345" s="2">
        <f t="shared" si="33"/>
        <v>-494.85</v>
      </c>
      <c r="O345" s="2">
        <f t="shared" si="34"/>
        <v>320.1</v>
      </c>
      <c r="P345" s="2">
        <f t="shared" si="35"/>
        <v>640.2</v>
      </c>
    </row>
    <row r="346" spans="1:16">
      <c r="A346" s="1">
        <v>345</v>
      </c>
      <c r="B346" s="1">
        <v>28</v>
      </c>
      <c r="C346" s="1" t="s">
        <v>16</v>
      </c>
      <c r="D346" s="1">
        <v>176.1</v>
      </c>
      <c r="E346" s="1">
        <v>106.6</v>
      </c>
      <c r="F346" s="1">
        <v>1722</v>
      </c>
      <c r="G346" s="1" t="s">
        <v>21</v>
      </c>
      <c r="H346" s="1">
        <v>1.725</v>
      </c>
      <c r="I346" s="1">
        <v>1.761</v>
      </c>
      <c r="J346" s="1">
        <v>34.3746664512606</v>
      </c>
      <c r="K346" t="str">
        <f t="shared" si="30"/>
        <v>缺口过大</v>
      </c>
      <c r="L346" s="2">
        <f t="shared" si="31"/>
        <v>2031.625</v>
      </c>
      <c r="M346" s="2">
        <f t="shared" si="32"/>
        <v>3504.553125</v>
      </c>
      <c r="N346" s="2">
        <f t="shared" si="33"/>
        <v>1782.553125</v>
      </c>
      <c r="O346" s="2">
        <f t="shared" si="34"/>
        <v>586.3</v>
      </c>
      <c r="P346" s="2">
        <f t="shared" si="35"/>
        <v>1172.6</v>
      </c>
    </row>
    <row r="347" spans="1:16">
      <c r="A347" s="1">
        <v>346</v>
      </c>
      <c r="B347" s="1">
        <v>29</v>
      </c>
      <c r="C347" s="1" t="s">
        <v>16</v>
      </c>
      <c r="D347" s="1">
        <v>193.3</v>
      </c>
      <c r="E347" s="1">
        <v>85.4</v>
      </c>
      <c r="F347" s="1">
        <v>4058</v>
      </c>
      <c r="G347" s="1" t="s">
        <v>21</v>
      </c>
      <c r="H347" s="1">
        <v>1.725</v>
      </c>
      <c r="I347" s="1">
        <v>1.933</v>
      </c>
      <c r="J347" s="1">
        <v>22.8556808276432</v>
      </c>
      <c r="K347" t="str">
        <f t="shared" si="30"/>
        <v>没有热量缺口</v>
      </c>
      <c r="L347" s="2">
        <f t="shared" si="31"/>
        <v>1922.125</v>
      </c>
      <c r="M347" s="2">
        <f t="shared" si="32"/>
        <v>3315.665625</v>
      </c>
      <c r="N347" s="2">
        <f t="shared" si="33"/>
        <v>-742.334375</v>
      </c>
      <c r="O347" s="2">
        <f t="shared" si="34"/>
        <v>469.7</v>
      </c>
      <c r="P347" s="2">
        <f t="shared" si="35"/>
        <v>939.4</v>
      </c>
    </row>
    <row r="348" spans="1:16">
      <c r="A348" s="1">
        <v>347</v>
      </c>
      <c r="B348" s="1">
        <v>32</v>
      </c>
      <c r="C348" s="1" t="s">
        <v>18</v>
      </c>
      <c r="D348" s="1">
        <v>151</v>
      </c>
      <c r="E348" s="1">
        <v>84</v>
      </c>
      <c r="F348" s="1">
        <v>1321</v>
      </c>
      <c r="G348" s="1" t="s">
        <v>21</v>
      </c>
      <c r="H348" s="1">
        <v>1.725</v>
      </c>
      <c r="I348" s="1">
        <v>1.51</v>
      </c>
      <c r="J348" s="1">
        <v>36.840489452217</v>
      </c>
      <c r="K348" t="str">
        <f t="shared" si="30"/>
        <v>缺口过大</v>
      </c>
      <c r="L348" s="2">
        <f t="shared" si="31"/>
        <v>1462.75</v>
      </c>
      <c r="M348" s="2">
        <f t="shared" si="32"/>
        <v>2523.24375</v>
      </c>
      <c r="N348" s="2">
        <f t="shared" si="33"/>
        <v>1202.24375</v>
      </c>
      <c r="O348" s="2">
        <f t="shared" si="34"/>
        <v>462</v>
      </c>
      <c r="P348" s="2">
        <f t="shared" si="35"/>
        <v>924</v>
      </c>
    </row>
    <row r="349" spans="1:16">
      <c r="A349" s="1">
        <v>348</v>
      </c>
      <c r="B349" s="1">
        <v>29</v>
      </c>
      <c r="C349" s="1" t="s">
        <v>16</v>
      </c>
      <c r="D349" s="1">
        <v>175.5</v>
      </c>
      <c r="E349" s="1">
        <v>103.9</v>
      </c>
      <c r="F349" s="1">
        <v>2594</v>
      </c>
      <c r="G349" s="1" t="s">
        <v>17</v>
      </c>
      <c r="H349" s="1">
        <v>1.375</v>
      </c>
      <c r="I349" s="1">
        <v>1.755</v>
      </c>
      <c r="J349" s="1">
        <v>33.7334924229511</v>
      </c>
      <c r="K349" t="str">
        <f t="shared" si="30"/>
        <v>缺口过小</v>
      </c>
      <c r="L349" s="2">
        <f t="shared" si="31"/>
        <v>1995.875</v>
      </c>
      <c r="M349" s="2">
        <f t="shared" si="32"/>
        <v>2744.328125</v>
      </c>
      <c r="N349" s="2">
        <f t="shared" si="33"/>
        <v>150.328125</v>
      </c>
      <c r="O349" s="2">
        <f t="shared" si="34"/>
        <v>571.45</v>
      </c>
      <c r="P349" s="2">
        <f t="shared" si="35"/>
        <v>1142.9</v>
      </c>
    </row>
    <row r="350" spans="1:16">
      <c r="A350" s="1">
        <v>349</v>
      </c>
      <c r="B350" s="1">
        <v>24</v>
      </c>
      <c r="C350" s="1" t="s">
        <v>18</v>
      </c>
      <c r="D350" s="1">
        <v>160.6</v>
      </c>
      <c r="E350" s="1">
        <v>55.4</v>
      </c>
      <c r="F350" s="1">
        <v>2169</v>
      </c>
      <c r="G350" s="1" t="s">
        <v>17</v>
      </c>
      <c r="H350" s="1">
        <v>1.375</v>
      </c>
      <c r="I350" s="1">
        <v>1.60599999999999</v>
      </c>
      <c r="J350" s="1">
        <v>21.4792287328495</v>
      </c>
      <c r="K350" t="str">
        <f t="shared" si="30"/>
        <v>没有热量缺口</v>
      </c>
      <c r="L350" s="2">
        <f t="shared" si="31"/>
        <v>1276.75</v>
      </c>
      <c r="M350" s="2">
        <f t="shared" si="32"/>
        <v>1755.53125</v>
      </c>
      <c r="N350" s="2">
        <f t="shared" si="33"/>
        <v>-413.46875</v>
      </c>
      <c r="O350" s="2">
        <f t="shared" si="34"/>
        <v>304.7</v>
      </c>
      <c r="P350" s="2">
        <f t="shared" si="35"/>
        <v>609.4</v>
      </c>
    </row>
    <row r="351" spans="1:16">
      <c r="A351" s="1">
        <v>350</v>
      </c>
      <c r="B351" s="1">
        <v>26</v>
      </c>
      <c r="C351" s="1" t="s">
        <v>18</v>
      </c>
      <c r="D351" s="1">
        <v>167.8</v>
      </c>
      <c r="E351" s="1">
        <v>62.4</v>
      </c>
      <c r="F351" s="1">
        <v>2033</v>
      </c>
      <c r="G351" s="1" t="s">
        <v>20</v>
      </c>
      <c r="H351" s="1">
        <v>1.55</v>
      </c>
      <c r="I351" s="1">
        <v>1.678</v>
      </c>
      <c r="J351" s="1">
        <v>22.1615777906895</v>
      </c>
      <c r="K351" t="str">
        <f t="shared" si="30"/>
        <v>缺口过小</v>
      </c>
      <c r="L351" s="2">
        <f t="shared" si="31"/>
        <v>1381.75</v>
      </c>
      <c r="M351" s="2">
        <f t="shared" si="32"/>
        <v>2141.7125</v>
      </c>
      <c r="N351" s="2">
        <f t="shared" si="33"/>
        <v>108.7125</v>
      </c>
      <c r="O351" s="2">
        <f t="shared" si="34"/>
        <v>343.2</v>
      </c>
      <c r="P351" s="2">
        <f t="shared" si="35"/>
        <v>686.4</v>
      </c>
    </row>
    <row r="352" spans="1:16">
      <c r="A352" s="1">
        <v>351</v>
      </c>
      <c r="B352" s="1">
        <v>31</v>
      </c>
      <c r="C352" s="1" t="s">
        <v>16</v>
      </c>
      <c r="D352" s="1">
        <v>178.2</v>
      </c>
      <c r="E352" s="1">
        <v>86.6</v>
      </c>
      <c r="F352" s="1">
        <v>2474</v>
      </c>
      <c r="G352" s="1" t="s">
        <v>21</v>
      </c>
      <c r="H352" s="1">
        <v>1.725</v>
      </c>
      <c r="I352" s="1">
        <v>1.78199999999999</v>
      </c>
      <c r="J352" s="1">
        <v>27.2710897477077</v>
      </c>
      <c r="K352" t="str">
        <f t="shared" si="30"/>
        <v>缺口合适</v>
      </c>
      <c r="L352" s="2">
        <f t="shared" si="31"/>
        <v>1829.75</v>
      </c>
      <c r="M352" s="2">
        <f t="shared" si="32"/>
        <v>3156.31875</v>
      </c>
      <c r="N352" s="2">
        <f t="shared" si="33"/>
        <v>682.31875</v>
      </c>
      <c r="O352" s="2">
        <f t="shared" si="34"/>
        <v>476.3</v>
      </c>
      <c r="P352" s="2">
        <f t="shared" si="35"/>
        <v>952.6</v>
      </c>
    </row>
    <row r="353" spans="1:16">
      <c r="A353" s="1">
        <v>352</v>
      </c>
      <c r="B353" s="1">
        <v>29</v>
      </c>
      <c r="C353" s="1" t="s">
        <v>16</v>
      </c>
      <c r="D353" s="1">
        <v>172.9</v>
      </c>
      <c r="E353" s="1">
        <v>92.7</v>
      </c>
      <c r="F353" s="1">
        <v>1878</v>
      </c>
      <c r="G353" s="1" t="s">
        <v>17</v>
      </c>
      <c r="H353" s="1">
        <v>1.375</v>
      </c>
      <c r="I353" s="1">
        <v>1.729</v>
      </c>
      <c r="J353" s="1">
        <v>31.0091418429064</v>
      </c>
      <c r="K353" t="str">
        <f t="shared" si="30"/>
        <v>缺口合适</v>
      </c>
      <c r="L353" s="2">
        <f t="shared" si="31"/>
        <v>1867.625</v>
      </c>
      <c r="M353" s="2">
        <f t="shared" si="32"/>
        <v>2567.984375</v>
      </c>
      <c r="N353" s="2">
        <f t="shared" si="33"/>
        <v>689.984375</v>
      </c>
      <c r="O353" s="2">
        <f t="shared" si="34"/>
        <v>509.85</v>
      </c>
      <c r="P353" s="2">
        <f t="shared" si="35"/>
        <v>1019.7</v>
      </c>
    </row>
    <row r="354" spans="1:16">
      <c r="A354" s="1">
        <v>353</v>
      </c>
      <c r="B354" s="1">
        <v>27</v>
      </c>
      <c r="C354" s="1" t="s">
        <v>18</v>
      </c>
      <c r="D354" s="1">
        <v>164.9</v>
      </c>
      <c r="E354" s="1">
        <v>79.4</v>
      </c>
      <c r="F354" s="1">
        <v>1633</v>
      </c>
      <c r="G354" s="1" t="s">
        <v>21</v>
      </c>
      <c r="H354" s="1">
        <v>1.725</v>
      </c>
      <c r="I354" s="1">
        <v>1.649</v>
      </c>
      <c r="J354" s="1">
        <v>29.1997538982958</v>
      </c>
      <c r="K354" t="str">
        <f t="shared" si="30"/>
        <v>缺口过大</v>
      </c>
      <c r="L354" s="2">
        <f t="shared" si="31"/>
        <v>1528.625</v>
      </c>
      <c r="M354" s="2">
        <f t="shared" si="32"/>
        <v>2636.878125</v>
      </c>
      <c r="N354" s="2">
        <f t="shared" si="33"/>
        <v>1003.878125</v>
      </c>
      <c r="O354" s="2">
        <f t="shared" si="34"/>
        <v>436.7</v>
      </c>
      <c r="P354" s="2">
        <f t="shared" si="35"/>
        <v>873.4</v>
      </c>
    </row>
    <row r="355" spans="1:16">
      <c r="A355" s="1">
        <v>354</v>
      </c>
      <c r="B355" s="1">
        <v>30</v>
      </c>
      <c r="C355" s="1" t="s">
        <v>16</v>
      </c>
      <c r="D355" s="1">
        <v>181.8</v>
      </c>
      <c r="E355" s="1">
        <v>74.3</v>
      </c>
      <c r="F355" s="1">
        <v>5801</v>
      </c>
      <c r="G355" s="1" t="s">
        <v>21</v>
      </c>
      <c r="H355" s="1">
        <v>1.725</v>
      </c>
      <c r="I355" s="1">
        <v>1.818</v>
      </c>
      <c r="J355" s="1">
        <v>22.4802458243624</v>
      </c>
      <c r="K355" t="str">
        <f t="shared" si="30"/>
        <v>没有热量缺口</v>
      </c>
      <c r="L355" s="2">
        <f t="shared" si="31"/>
        <v>1734.25</v>
      </c>
      <c r="M355" s="2">
        <f t="shared" si="32"/>
        <v>2991.58125</v>
      </c>
      <c r="N355" s="2">
        <f t="shared" si="33"/>
        <v>-2809.41875</v>
      </c>
      <c r="O355" s="2">
        <f t="shared" si="34"/>
        <v>408.65</v>
      </c>
      <c r="P355" s="2">
        <f t="shared" si="35"/>
        <v>817.3</v>
      </c>
    </row>
    <row r="356" spans="1:16">
      <c r="A356" s="1">
        <v>355</v>
      </c>
      <c r="B356" s="1">
        <v>26</v>
      </c>
      <c r="C356" s="1" t="s">
        <v>16</v>
      </c>
      <c r="D356" s="1">
        <v>181.1</v>
      </c>
      <c r="E356" s="1">
        <v>74.1</v>
      </c>
      <c r="F356" s="1">
        <v>2347</v>
      </c>
      <c r="G356" s="1" t="s">
        <v>21</v>
      </c>
      <c r="H356" s="1">
        <v>1.725</v>
      </c>
      <c r="I356" s="1">
        <v>1.811</v>
      </c>
      <c r="J356" s="1">
        <v>22.5933852300241</v>
      </c>
      <c r="K356" t="str">
        <f t="shared" si="30"/>
        <v>缺口合适</v>
      </c>
      <c r="L356" s="2">
        <f t="shared" si="31"/>
        <v>1747.875</v>
      </c>
      <c r="M356" s="2">
        <f t="shared" si="32"/>
        <v>3015.084375</v>
      </c>
      <c r="N356" s="2">
        <f t="shared" si="33"/>
        <v>668.084375</v>
      </c>
      <c r="O356" s="2">
        <f t="shared" si="34"/>
        <v>407.55</v>
      </c>
      <c r="P356" s="2">
        <f t="shared" si="35"/>
        <v>815.1</v>
      </c>
    </row>
    <row r="357" spans="1:16">
      <c r="A357" s="1">
        <v>356</v>
      </c>
      <c r="B357" s="1">
        <v>20</v>
      </c>
      <c r="C357" s="1" t="s">
        <v>16</v>
      </c>
      <c r="D357" s="1">
        <v>177.6</v>
      </c>
      <c r="E357" s="1">
        <v>151.1</v>
      </c>
      <c r="F357" s="1">
        <v>2153</v>
      </c>
      <c r="G357" s="1" t="s">
        <v>21</v>
      </c>
      <c r="H357" s="1">
        <v>1.725</v>
      </c>
      <c r="I357" s="1">
        <v>1.776</v>
      </c>
      <c r="J357" s="1">
        <v>47.9047459621783</v>
      </c>
      <c r="K357" t="str">
        <f t="shared" si="30"/>
        <v>缺口过大</v>
      </c>
      <c r="L357" s="2">
        <f t="shared" si="31"/>
        <v>2526</v>
      </c>
      <c r="M357" s="2">
        <f t="shared" si="32"/>
        <v>4357.35</v>
      </c>
      <c r="N357" s="2">
        <f t="shared" si="33"/>
        <v>2204.35</v>
      </c>
      <c r="O357" s="2">
        <f t="shared" si="34"/>
        <v>831.05</v>
      </c>
      <c r="P357" s="2">
        <f t="shared" si="35"/>
        <v>1662.1</v>
      </c>
    </row>
    <row r="358" spans="1:16">
      <c r="A358" s="1">
        <v>357</v>
      </c>
      <c r="B358" s="1">
        <v>32</v>
      </c>
      <c r="C358" s="1" t="s">
        <v>16</v>
      </c>
      <c r="D358" s="1">
        <v>179.6</v>
      </c>
      <c r="E358" s="1">
        <v>143.6</v>
      </c>
      <c r="F358" s="1">
        <v>2480</v>
      </c>
      <c r="G358" s="1" t="s">
        <v>17</v>
      </c>
      <c r="H358" s="1">
        <v>1.375</v>
      </c>
      <c r="I358" s="1">
        <v>1.796</v>
      </c>
      <c r="J358" s="1">
        <v>44.5186283798195</v>
      </c>
      <c r="K358" t="str">
        <f t="shared" si="30"/>
        <v>缺口合适</v>
      </c>
      <c r="L358" s="2">
        <f t="shared" si="31"/>
        <v>2403.5</v>
      </c>
      <c r="M358" s="2">
        <f t="shared" si="32"/>
        <v>3304.8125</v>
      </c>
      <c r="N358" s="2">
        <f t="shared" si="33"/>
        <v>824.8125</v>
      </c>
      <c r="O358" s="2">
        <f t="shared" si="34"/>
        <v>789.8</v>
      </c>
      <c r="P358" s="2">
        <f t="shared" si="35"/>
        <v>1579.6</v>
      </c>
    </row>
    <row r="359" spans="1:16">
      <c r="A359" s="1">
        <v>358</v>
      </c>
      <c r="B359" s="1">
        <v>34</v>
      </c>
      <c r="C359" s="1" t="s">
        <v>16</v>
      </c>
      <c r="D359" s="1">
        <v>151.8</v>
      </c>
      <c r="E359" s="1">
        <v>87.7</v>
      </c>
      <c r="F359" s="1">
        <v>2599</v>
      </c>
      <c r="G359" s="1" t="s">
        <v>19</v>
      </c>
      <c r="H359" s="1">
        <v>1.2</v>
      </c>
      <c r="I359" s="1">
        <v>1.518</v>
      </c>
      <c r="J359" s="1">
        <v>38.0588840805372</v>
      </c>
      <c r="K359" t="str">
        <f t="shared" si="30"/>
        <v>没有热量缺口</v>
      </c>
      <c r="L359" s="2">
        <f t="shared" si="31"/>
        <v>1660.75</v>
      </c>
      <c r="M359" s="2">
        <f t="shared" si="32"/>
        <v>1992.9</v>
      </c>
      <c r="N359" s="2">
        <f t="shared" si="33"/>
        <v>-606.1</v>
      </c>
      <c r="O359" s="2">
        <f t="shared" si="34"/>
        <v>482.35</v>
      </c>
      <c r="P359" s="2">
        <f t="shared" si="35"/>
        <v>964.7</v>
      </c>
    </row>
    <row r="360" spans="1:16">
      <c r="A360" s="1">
        <v>359</v>
      </c>
      <c r="B360" s="1">
        <v>32</v>
      </c>
      <c r="C360" s="1" t="s">
        <v>18</v>
      </c>
      <c r="D360" s="1">
        <v>161.1</v>
      </c>
      <c r="E360" s="1">
        <v>48</v>
      </c>
      <c r="F360" s="1">
        <v>1377</v>
      </c>
      <c r="G360" s="1" t="s">
        <v>17</v>
      </c>
      <c r="H360" s="1">
        <v>1.375</v>
      </c>
      <c r="I360" s="1">
        <v>1.611</v>
      </c>
      <c r="J360" s="1">
        <v>18.4948220277954</v>
      </c>
      <c r="K360" t="str">
        <f t="shared" si="30"/>
        <v>缺口过小</v>
      </c>
      <c r="L360" s="2">
        <f t="shared" si="31"/>
        <v>1165.875</v>
      </c>
      <c r="M360" s="2">
        <f t="shared" si="32"/>
        <v>1603.078125</v>
      </c>
      <c r="N360" s="2">
        <f t="shared" si="33"/>
        <v>226.078125</v>
      </c>
      <c r="O360" s="2">
        <f t="shared" si="34"/>
        <v>264</v>
      </c>
      <c r="P360" s="2">
        <f t="shared" si="35"/>
        <v>528</v>
      </c>
    </row>
    <row r="361" spans="1:16">
      <c r="A361" s="1">
        <v>360</v>
      </c>
      <c r="B361" s="1">
        <v>20</v>
      </c>
      <c r="C361" s="1" t="s">
        <v>16</v>
      </c>
      <c r="D361" s="1">
        <v>167.8</v>
      </c>
      <c r="E361" s="1">
        <v>72.2</v>
      </c>
      <c r="F361" s="1">
        <v>1072</v>
      </c>
      <c r="G361" s="1" t="s">
        <v>17</v>
      </c>
      <c r="H361" s="1">
        <v>1.375</v>
      </c>
      <c r="I361" s="1">
        <v>1.678</v>
      </c>
      <c r="J361" s="1">
        <v>25.6420819949965</v>
      </c>
      <c r="K361" t="str">
        <f t="shared" si="30"/>
        <v>缺口过大</v>
      </c>
      <c r="L361" s="2">
        <f t="shared" si="31"/>
        <v>1675.75</v>
      </c>
      <c r="M361" s="2">
        <f t="shared" si="32"/>
        <v>2304.15625</v>
      </c>
      <c r="N361" s="2">
        <f t="shared" si="33"/>
        <v>1232.15625</v>
      </c>
      <c r="O361" s="2">
        <f t="shared" si="34"/>
        <v>397.1</v>
      </c>
      <c r="P361" s="2">
        <f t="shared" si="35"/>
        <v>794.2</v>
      </c>
    </row>
    <row r="362" spans="1:16">
      <c r="A362" s="1">
        <v>361</v>
      </c>
      <c r="B362" s="1">
        <v>20</v>
      </c>
      <c r="C362" s="1" t="s">
        <v>16</v>
      </c>
      <c r="D362" s="1">
        <v>174.2</v>
      </c>
      <c r="E362" s="1">
        <v>63.7</v>
      </c>
      <c r="F362" s="1">
        <v>2426</v>
      </c>
      <c r="G362" s="1" t="s">
        <v>17</v>
      </c>
      <c r="H362" s="1">
        <v>1.375</v>
      </c>
      <c r="I362" s="1">
        <v>1.742</v>
      </c>
      <c r="J362" s="1">
        <v>20.9914834552838</v>
      </c>
      <c r="K362" t="str">
        <f t="shared" si="30"/>
        <v>没有热量缺口</v>
      </c>
      <c r="L362" s="2">
        <f t="shared" si="31"/>
        <v>1630.75</v>
      </c>
      <c r="M362" s="2">
        <f t="shared" si="32"/>
        <v>2242.28125</v>
      </c>
      <c r="N362" s="2">
        <f t="shared" si="33"/>
        <v>-183.71875</v>
      </c>
      <c r="O362" s="2">
        <f t="shared" si="34"/>
        <v>350.35</v>
      </c>
      <c r="P362" s="2">
        <f t="shared" si="35"/>
        <v>700.7</v>
      </c>
    </row>
    <row r="363" spans="1:16">
      <c r="A363" s="1">
        <v>362</v>
      </c>
      <c r="B363" s="1">
        <v>27</v>
      </c>
      <c r="C363" s="1" t="s">
        <v>16</v>
      </c>
      <c r="D363" s="1">
        <v>182.7</v>
      </c>
      <c r="E363" s="1">
        <v>82.1</v>
      </c>
      <c r="F363" s="1">
        <v>2193</v>
      </c>
      <c r="G363" s="1" t="s">
        <v>21</v>
      </c>
      <c r="H363" s="1">
        <v>1.725</v>
      </c>
      <c r="I363" s="1">
        <v>1.827</v>
      </c>
      <c r="J363" s="1">
        <v>24.5960893715833</v>
      </c>
      <c r="K363" t="str">
        <f t="shared" si="30"/>
        <v>缺口过大</v>
      </c>
      <c r="L363" s="2">
        <f t="shared" si="31"/>
        <v>1832.875</v>
      </c>
      <c r="M363" s="2">
        <f t="shared" si="32"/>
        <v>3161.709375</v>
      </c>
      <c r="N363" s="2">
        <f t="shared" si="33"/>
        <v>968.709375</v>
      </c>
      <c r="O363" s="2">
        <f t="shared" si="34"/>
        <v>451.55</v>
      </c>
      <c r="P363" s="2">
        <f t="shared" si="35"/>
        <v>903.1</v>
      </c>
    </row>
    <row r="364" spans="1:16">
      <c r="A364" s="1">
        <v>363</v>
      </c>
      <c r="B364" s="1">
        <v>26</v>
      </c>
      <c r="C364" s="1" t="s">
        <v>18</v>
      </c>
      <c r="D364" s="1">
        <v>164.5</v>
      </c>
      <c r="E364" s="1">
        <v>57.5</v>
      </c>
      <c r="F364" s="1">
        <v>847</v>
      </c>
      <c r="G364" s="1" t="s">
        <v>21</v>
      </c>
      <c r="H364" s="1">
        <v>1.725</v>
      </c>
      <c r="I364" s="1">
        <v>1.645</v>
      </c>
      <c r="J364" s="1">
        <v>21.248879814488</v>
      </c>
      <c r="K364" t="str">
        <f t="shared" si="30"/>
        <v>缺口过大</v>
      </c>
      <c r="L364" s="2">
        <f t="shared" si="31"/>
        <v>1312.125</v>
      </c>
      <c r="M364" s="2">
        <f t="shared" si="32"/>
        <v>2263.415625</v>
      </c>
      <c r="N364" s="2">
        <f t="shared" si="33"/>
        <v>1416.415625</v>
      </c>
      <c r="O364" s="2">
        <f t="shared" si="34"/>
        <v>316.25</v>
      </c>
      <c r="P364" s="2">
        <f t="shared" si="35"/>
        <v>632.5</v>
      </c>
    </row>
    <row r="365" spans="1:16">
      <c r="A365" s="1">
        <v>364</v>
      </c>
      <c r="B365" s="1">
        <v>28</v>
      </c>
      <c r="C365" s="1" t="s">
        <v>18</v>
      </c>
      <c r="D365" s="1">
        <v>153.8</v>
      </c>
      <c r="E365" s="1">
        <v>48.4</v>
      </c>
      <c r="F365" s="1">
        <v>1664</v>
      </c>
      <c r="G365" s="1" t="s">
        <v>21</v>
      </c>
      <c r="H365" s="1">
        <v>1.725</v>
      </c>
      <c r="I365" s="1">
        <v>1.538</v>
      </c>
      <c r="J365" s="1">
        <v>20.4612749234393</v>
      </c>
      <c r="K365" t="str">
        <f t="shared" si="30"/>
        <v>缺口合适</v>
      </c>
      <c r="L365" s="2">
        <f t="shared" si="31"/>
        <v>1144.25</v>
      </c>
      <c r="M365" s="2">
        <f t="shared" si="32"/>
        <v>1973.83125</v>
      </c>
      <c r="N365" s="2">
        <f t="shared" si="33"/>
        <v>309.83125</v>
      </c>
      <c r="O365" s="2">
        <f t="shared" si="34"/>
        <v>266.2</v>
      </c>
      <c r="P365" s="2">
        <f t="shared" si="35"/>
        <v>532.4</v>
      </c>
    </row>
    <row r="366" spans="1:16">
      <c r="A366" s="1">
        <v>365</v>
      </c>
      <c r="B366" s="1">
        <v>21</v>
      </c>
      <c r="C366" s="1" t="s">
        <v>18</v>
      </c>
      <c r="D366" s="1">
        <v>161.3</v>
      </c>
      <c r="E366" s="1">
        <v>63.7</v>
      </c>
      <c r="F366" s="1">
        <v>1584</v>
      </c>
      <c r="G366" s="1" t="s">
        <v>21</v>
      </c>
      <c r="H366" s="1">
        <v>1.725</v>
      </c>
      <c r="I366" s="1">
        <v>1.613</v>
      </c>
      <c r="J366" s="1">
        <v>24.4833419108306</v>
      </c>
      <c r="K366" t="str">
        <f t="shared" si="30"/>
        <v>缺口过大</v>
      </c>
      <c r="L366" s="2">
        <f t="shared" si="31"/>
        <v>1379.125</v>
      </c>
      <c r="M366" s="2">
        <f t="shared" si="32"/>
        <v>2378.990625</v>
      </c>
      <c r="N366" s="2">
        <f t="shared" si="33"/>
        <v>794.990625</v>
      </c>
      <c r="O366" s="2">
        <f t="shared" si="34"/>
        <v>350.35</v>
      </c>
      <c r="P366" s="2">
        <f t="shared" si="35"/>
        <v>700.7</v>
      </c>
    </row>
    <row r="367" spans="1:16">
      <c r="A367" s="1">
        <v>366</v>
      </c>
      <c r="B367" s="1">
        <v>29</v>
      </c>
      <c r="C367" s="1" t="s">
        <v>18</v>
      </c>
      <c r="D367" s="1">
        <v>148.5</v>
      </c>
      <c r="E367" s="1">
        <v>73.7</v>
      </c>
      <c r="F367" s="1">
        <v>885</v>
      </c>
      <c r="G367" s="1" t="s">
        <v>17</v>
      </c>
      <c r="H367" s="1">
        <v>1.375</v>
      </c>
      <c r="I367" s="1">
        <v>1.485</v>
      </c>
      <c r="J367" s="1">
        <v>33.4206260132186</v>
      </c>
      <c r="K367" t="str">
        <f t="shared" si="30"/>
        <v>缺口过大</v>
      </c>
      <c r="L367" s="2">
        <f t="shared" si="31"/>
        <v>1359.125</v>
      </c>
      <c r="M367" s="2">
        <f t="shared" si="32"/>
        <v>1868.796875</v>
      </c>
      <c r="N367" s="2">
        <f t="shared" si="33"/>
        <v>983.796875</v>
      </c>
      <c r="O367" s="2">
        <f t="shared" si="34"/>
        <v>405.35</v>
      </c>
      <c r="P367" s="2">
        <f t="shared" si="35"/>
        <v>810.7</v>
      </c>
    </row>
    <row r="368" spans="1:16">
      <c r="A368" s="1">
        <v>367</v>
      </c>
      <c r="B368" s="1">
        <v>30</v>
      </c>
      <c r="C368" s="1" t="s">
        <v>16</v>
      </c>
      <c r="D368" s="1">
        <v>174.6</v>
      </c>
      <c r="E368" s="1">
        <v>134.9</v>
      </c>
      <c r="F368" s="1">
        <v>1741</v>
      </c>
      <c r="G368" s="1" t="s">
        <v>20</v>
      </c>
      <c r="H368" s="1">
        <v>1.55</v>
      </c>
      <c r="I368" s="1">
        <v>1.746</v>
      </c>
      <c r="J368" s="1">
        <v>44.2510388661237</v>
      </c>
      <c r="K368" t="str">
        <f t="shared" si="30"/>
        <v>缺口过大</v>
      </c>
      <c r="L368" s="2">
        <f t="shared" si="31"/>
        <v>2295.25</v>
      </c>
      <c r="M368" s="2">
        <f t="shared" si="32"/>
        <v>3557.6375</v>
      </c>
      <c r="N368" s="2">
        <f t="shared" si="33"/>
        <v>1816.6375</v>
      </c>
      <c r="O368" s="2">
        <f t="shared" si="34"/>
        <v>741.95</v>
      </c>
      <c r="P368" s="2">
        <f t="shared" si="35"/>
        <v>1483.9</v>
      </c>
    </row>
    <row r="369" spans="1:16">
      <c r="A369" s="1">
        <v>368</v>
      </c>
      <c r="B369" s="1">
        <v>26</v>
      </c>
      <c r="C369" s="1" t="s">
        <v>18</v>
      </c>
      <c r="D369" s="1">
        <v>165.9</v>
      </c>
      <c r="E369" s="1">
        <v>109.1</v>
      </c>
      <c r="F369" s="1">
        <v>1932</v>
      </c>
      <c r="G369" s="1" t="s">
        <v>17</v>
      </c>
      <c r="H369" s="1">
        <v>1.375</v>
      </c>
      <c r="I369" s="1">
        <v>1.659</v>
      </c>
      <c r="J369" s="1">
        <v>39.6398478207712</v>
      </c>
      <c r="K369" t="str">
        <f t="shared" si="30"/>
        <v>缺口过小</v>
      </c>
      <c r="L369" s="2">
        <f t="shared" si="31"/>
        <v>1836.875</v>
      </c>
      <c r="M369" s="2">
        <f t="shared" si="32"/>
        <v>2525.703125</v>
      </c>
      <c r="N369" s="2">
        <f t="shared" si="33"/>
        <v>593.703125</v>
      </c>
      <c r="O369" s="2">
        <f t="shared" si="34"/>
        <v>600.05</v>
      </c>
      <c r="P369" s="2">
        <f t="shared" si="35"/>
        <v>1200.1</v>
      </c>
    </row>
    <row r="370" spans="1:16">
      <c r="A370" s="1">
        <v>369</v>
      </c>
      <c r="B370" s="1">
        <v>30</v>
      </c>
      <c r="C370" s="1" t="s">
        <v>18</v>
      </c>
      <c r="D370" s="1">
        <v>174.1</v>
      </c>
      <c r="E370" s="1">
        <v>89.8</v>
      </c>
      <c r="F370" s="1">
        <v>2659</v>
      </c>
      <c r="G370" s="1" t="s">
        <v>21</v>
      </c>
      <c r="H370" s="1">
        <v>1.725</v>
      </c>
      <c r="I370" s="1">
        <v>1.74099999999999</v>
      </c>
      <c r="J370" s="1">
        <v>29.6263940158643</v>
      </c>
      <c r="K370" t="str">
        <f t="shared" si="30"/>
        <v>缺口过小</v>
      </c>
      <c r="L370" s="2">
        <f t="shared" si="31"/>
        <v>1675.125</v>
      </c>
      <c r="M370" s="2">
        <f t="shared" si="32"/>
        <v>2889.590625</v>
      </c>
      <c r="N370" s="2">
        <f t="shared" si="33"/>
        <v>230.590625</v>
      </c>
      <c r="O370" s="2">
        <f t="shared" si="34"/>
        <v>493.9</v>
      </c>
      <c r="P370" s="2">
        <f t="shared" si="35"/>
        <v>987.8</v>
      </c>
    </row>
    <row r="371" spans="1:16">
      <c r="A371" s="1">
        <v>370</v>
      </c>
      <c r="B371" s="1">
        <v>33</v>
      </c>
      <c r="C371" s="1" t="s">
        <v>16</v>
      </c>
      <c r="D371" s="1">
        <v>176.1</v>
      </c>
      <c r="E371" s="1">
        <v>87.5</v>
      </c>
      <c r="F371" s="1">
        <v>1317</v>
      </c>
      <c r="G371" s="1" t="s">
        <v>19</v>
      </c>
      <c r="H371" s="1">
        <v>1.2</v>
      </c>
      <c r="I371" s="1">
        <v>1.761</v>
      </c>
      <c r="J371" s="1">
        <v>28.2156033253781</v>
      </c>
      <c r="K371" t="str">
        <f t="shared" si="30"/>
        <v>缺口合适</v>
      </c>
      <c r="L371" s="2">
        <f t="shared" si="31"/>
        <v>1815.625</v>
      </c>
      <c r="M371" s="2">
        <f t="shared" si="32"/>
        <v>2178.75</v>
      </c>
      <c r="N371" s="2">
        <f t="shared" si="33"/>
        <v>861.75</v>
      </c>
      <c r="O371" s="2">
        <f t="shared" si="34"/>
        <v>481.25</v>
      </c>
      <c r="P371" s="2">
        <f t="shared" si="35"/>
        <v>962.5</v>
      </c>
    </row>
    <row r="372" spans="1:16">
      <c r="A372" s="1">
        <v>371</v>
      </c>
      <c r="B372" s="1">
        <v>21</v>
      </c>
      <c r="C372" s="1" t="s">
        <v>18</v>
      </c>
      <c r="D372" s="1">
        <v>181.9</v>
      </c>
      <c r="E372" s="1">
        <v>72.8</v>
      </c>
      <c r="F372" s="1">
        <v>1678</v>
      </c>
      <c r="G372" s="1" t="s">
        <v>21</v>
      </c>
      <c r="H372" s="1">
        <v>1.725</v>
      </c>
      <c r="I372" s="1">
        <v>1.819</v>
      </c>
      <c r="J372" s="1">
        <v>22.0021935703424</v>
      </c>
      <c r="K372" t="str">
        <f t="shared" si="30"/>
        <v>缺口过大</v>
      </c>
      <c r="L372" s="2">
        <f t="shared" si="31"/>
        <v>1598.875</v>
      </c>
      <c r="M372" s="2">
        <f t="shared" si="32"/>
        <v>2758.059375</v>
      </c>
      <c r="N372" s="2">
        <f t="shared" si="33"/>
        <v>1080.059375</v>
      </c>
      <c r="O372" s="2">
        <f t="shared" si="34"/>
        <v>400.4</v>
      </c>
      <c r="P372" s="2">
        <f t="shared" si="35"/>
        <v>800.8</v>
      </c>
    </row>
    <row r="373" spans="1:16">
      <c r="A373" s="1">
        <v>372</v>
      </c>
      <c r="B373" s="1">
        <v>23</v>
      </c>
      <c r="C373" s="1" t="s">
        <v>16</v>
      </c>
      <c r="D373" s="1">
        <v>182</v>
      </c>
      <c r="E373" s="1">
        <v>84.4</v>
      </c>
      <c r="F373" s="1">
        <v>891</v>
      </c>
      <c r="G373" s="1" t="s">
        <v>19</v>
      </c>
      <c r="H373" s="1">
        <v>1.2</v>
      </c>
      <c r="I373" s="1">
        <v>1.82</v>
      </c>
      <c r="J373" s="1">
        <v>25.4800144910035</v>
      </c>
      <c r="K373" t="str">
        <f t="shared" si="30"/>
        <v>缺口过大</v>
      </c>
      <c r="L373" s="2">
        <f t="shared" si="31"/>
        <v>1871.5</v>
      </c>
      <c r="M373" s="2">
        <f t="shared" si="32"/>
        <v>2245.8</v>
      </c>
      <c r="N373" s="2">
        <f t="shared" si="33"/>
        <v>1354.8</v>
      </c>
      <c r="O373" s="2">
        <f t="shared" si="34"/>
        <v>464.2</v>
      </c>
      <c r="P373" s="2">
        <f t="shared" si="35"/>
        <v>928.4</v>
      </c>
    </row>
    <row r="374" spans="1:16">
      <c r="A374" s="1">
        <v>373</v>
      </c>
      <c r="B374" s="1">
        <v>20</v>
      </c>
      <c r="C374" s="1" t="s">
        <v>16</v>
      </c>
      <c r="D374" s="1">
        <v>177.1</v>
      </c>
      <c r="E374" s="1">
        <v>89.7</v>
      </c>
      <c r="F374" s="1">
        <v>3782</v>
      </c>
      <c r="G374" s="1" t="s">
        <v>20</v>
      </c>
      <c r="H374" s="1">
        <v>1.55</v>
      </c>
      <c r="I374" s="1">
        <v>1.771</v>
      </c>
      <c r="J374" s="1">
        <v>28.5992945507344</v>
      </c>
      <c r="K374" t="str">
        <f t="shared" si="30"/>
        <v>没有热量缺口</v>
      </c>
      <c r="L374" s="2">
        <f t="shared" si="31"/>
        <v>1908.875</v>
      </c>
      <c r="M374" s="2">
        <f t="shared" si="32"/>
        <v>2958.75625</v>
      </c>
      <c r="N374" s="2">
        <f t="shared" si="33"/>
        <v>-823.24375</v>
      </c>
      <c r="O374" s="2">
        <f t="shared" si="34"/>
        <v>493.35</v>
      </c>
      <c r="P374" s="2">
        <f t="shared" si="35"/>
        <v>986.7</v>
      </c>
    </row>
    <row r="375" spans="1:16">
      <c r="A375" s="1">
        <v>374</v>
      </c>
      <c r="B375" s="1">
        <v>30</v>
      </c>
      <c r="C375" s="1" t="s">
        <v>18</v>
      </c>
      <c r="D375" s="1">
        <v>159.8</v>
      </c>
      <c r="E375" s="1">
        <v>152.4</v>
      </c>
      <c r="F375" s="1">
        <v>1307</v>
      </c>
      <c r="G375" s="1" t="s">
        <v>20</v>
      </c>
      <c r="H375" s="1">
        <v>1.55</v>
      </c>
      <c r="I375" s="1">
        <v>1.598</v>
      </c>
      <c r="J375" s="1">
        <v>59.68035764355</v>
      </c>
      <c r="K375" t="str">
        <f t="shared" si="30"/>
        <v>缺口过大</v>
      </c>
      <c r="L375" s="2">
        <f t="shared" si="31"/>
        <v>2211.75</v>
      </c>
      <c r="M375" s="2">
        <f t="shared" si="32"/>
        <v>3428.2125</v>
      </c>
      <c r="N375" s="2">
        <f t="shared" si="33"/>
        <v>2121.2125</v>
      </c>
      <c r="O375" s="2">
        <f t="shared" si="34"/>
        <v>838.2</v>
      </c>
      <c r="P375" s="2">
        <f t="shared" si="35"/>
        <v>1676.4</v>
      </c>
    </row>
    <row r="376" spans="1:16">
      <c r="A376" s="1">
        <v>375</v>
      </c>
      <c r="B376" s="1">
        <v>25</v>
      </c>
      <c r="C376" s="1" t="s">
        <v>18</v>
      </c>
      <c r="D376" s="1">
        <v>157.1</v>
      </c>
      <c r="E376" s="1">
        <v>62</v>
      </c>
      <c r="F376" s="1">
        <v>1690</v>
      </c>
      <c r="G376" s="1" t="s">
        <v>17</v>
      </c>
      <c r="H376" s="1">
        <v>1.375</v>
      </c>
      <c r="I376" s="1">
        <v>1.571</v>
      </c>
      <c r="J376" s="1">
        <v>25.1211385872438</v>
      </c>
      <c r="K376" t="str">
        <f t="shared" si="30"/>
        <v>缺口过小</v>
      </c>
      <c r="L376" s="2">
        <f t="shared" si="31"/>
        <v>1315.875</v>
      </c>
      <c r="M376" s="2">
        <f t="shared" si="32"/>
        <v>1809.328125</v>
      </c>
      <c r="N376" s="2">
        <f t="shared" si="33"/>
        <v>119.328125</v>
      </c>
      <c r="O376" s="2">
        <f t="shared" si="34"/>
        <v>341</v>
      </c>
      <c r="P376" s="2">
        <f t="shared" si="35"/>
        <v>682</v>
      </c>
    </row>
    <row r="377" spans="1:16">
      <c r="A377" s="1">
        <v>376</v>
      </c>
      <c r="B377" s="1">
        <v>27</v>
      </c>
      <c r="C377" s="1" t="s">
        <v>16</v>
      </c>
      <c r="D377" s="1">
        <v>180.1</v>
      </c>
      <c r="E377" s="1">
        <v>105.2</v>
      </c>
      <c r="F377" s="1">
        <v>2502</v>
      </c>
      <c r="G377" s="1" t="s">
        <v>21</v>
      </c>
      <c r="H377" s="1">
        <v>1.725</v>
      </c>
      <c r="I377" s="1">
        <v>1.801</v>
      </c>
      <c r="J377" s="1">
        <v>32.4330890266712</v>
      </c>
      <c r="K377" t="str">
        <f t="shared" si="30"/>
        <v>缺口合适</v>
      </c>
      <c r="L377" s="2">
        <f t="shared" si="31"/>
        <v>2047.625</v>
      </c>
      <c r="M377" s="2">
        <f t="shared" si="32"/>
        <v>3532.153125</v>
      </c>
      <c r="N377" s="2">
        <f t="shared" si="33"/>
        <v>1030.153125</v>
      </c>
      <c r="O377" s="2">
        <f t="shared" si="34"/>
        <v>578.6</v>
      </c>
      <c r="P377" s="2">
        <f t="shared" si="35"/>
        <v>1157.2</v>
      </c>
    </row>
    <row r="378" spans="1:16">
      <c r="A378" s="1">
        <v>377</v>
      </c>
      <c r="B378" s="1">
        <v>21</v>
      </c>
      <c r="C378" s="1" t="s">
        <v>18</v>
      </c>
      <c r="D378" s="1">
        <v>155.2</v>
      </c>
      <c r="E378" s="1">
        <v>69.7</v>
      </c>
      <c r="F378" s="1">
        <v>1946</v>
      </c>
      <c r="G378" s="1" t="s">
        <v>17</v>
      </c>
      <c r="H378" s="1">
        <v>1.375</v>
      </c>
      <c r="I378" s="1">
        <v>1.55199999999999</v>
      </c>
      <c r="J378" s="1">
        <v>28.9367228185779</v>
      </c>
      <c r="K378" t="str">
        <f t="shared" si="30"/>
        <v>没有热量缺口</v>
      </c>
      <c r="L378" s="2">
        <f t="shared" si="31"/>
        <v>1401</v>
      </c>
      <c r="M378" s="2">
        <f t="shared" si="32"/>
        <v>1926.375</v>
      </c>
      <c r="N378" s="2">
        <f t="shared" si="33"/>
        <v>-19.625</v>
      </c>
      <c r="O378" s="2">
        <f t="shared" si="34"/>
        <v>383.35</v>
      </c>
      <c r="P378" s="2">
        <f t="shared" si="35"/>
        <v>766.7</v>
      </c>
    </row>
    <row r="379" spans="1:16">
      <c r="A379" s="1">
        <v>378</v>
      </c>
      <c r="B379" s="1">
        <v>21</v>
      </c>
      <c r="C379" s="1" t="s">
        <v>18</v>
      </c>
      <c r="D379" s="1">
        <v>158.4</v>
      </c>
      <c r="E379" s="1">
        <v>52.2</v>
      </c>
      <c r="F379" s="1">
        <v>1216</v>
      </c>
      <c r="G379" s="1" t="s">
        <v>17</v>
      </c>
      <c r="H379" s="1">
        <v>1.375</v>
      </c>
      <c r="I379" s="1">
        <v>1.584</v>
      </c>
      <c r="J379" s="1">
        <v>20.80463728191</v>
      </c>
      <c r="K379" t="str">
        <f t="shared" si="30"/>
        <v>缺口合适</v>
      </c>
      <c r="L379" s="2">
        <f t="shared" si="31"/>
        <v>1246</v>
      </c>
      <c r="M379" s="2">
        <f t="shared" si="32"/>
        <v>1713.25</v>
      </c>
      <c r="N379" s="2">
        <f t="shared" si="33"/>
        <v>497.25</v>
      </c>
      <c r="O379" s="2">
        <f t="shared" si="34"/>
        <v>287.1</v>
      </c>
      <c r="P379" s="2">
        <f t="shared" si="35"/>
        <v>574.2</v>
      </c>
    </row>
    <row r="380" spans="1:16">
      <c r="A380" s="1">
        <v>379</v>
      </c>
      <c r="B380" s="1">
        <v>35</v>
      </c>
      <c r="C380" s="1" t="s">
        <v>16</v>
      </c>
      <c r="D380" s="1">
        <v>169.1</v>
      </c>
      <c r="E380" s="1">
        <v>144</v>
      </c>
      <c r="F380" s="1">
        <v>2133</v>
      </c>
      <c r="G380" s="1" t="s">
        <v>20</v>
      </c>
      <c r="H380" s="1">
        <v>1.55</v>
      </c>
      <c r="I380" s="1">
        <v>1.69099999999999</v>
      </c>
      <c r="J380" s="1">
        <v>50.3587888851158</v>
      </c>
      <c r="K380" t="str">
        <f t="shared" si="30"/>
        <v>缺口合适</v>
      </c>
      <c r="L380" s="2">
        <f t="shared" si="31"/>
        <v>2326.875</v>
      </c>
      <c r="M380" s="2">
        <f t="shared" si="32"/>
        <v>3606.65625</v>
      </c>
      <c r="N380" s="2">
        <f t="shared" si="33"/>
        <v>1473.65625</v>
      </c>
      <c r="O380" s="2">
        <f t="shared" si="34"/>
        <v>792</v>
      </c>
      <c r="P380" s="2">
        <f t="shared" si="35"/>
        <v>1584</v>
      </c>
    </row>
    <row r="381" spans="1:16">
      <c r="A381" s="1">
        <v>380</v>
      </c>
      <c r="B381" s="1">
        <v>25</v>
      </c>
      <c r="C381" s="1" t="s">
        <v>18</v>
      </c>
      <c r="D381" s="1">
        <v>168.2</v>
      </c>
      <c r="E381" s="1">
        <v>64.1</v>
      </c>
      <c r="F381" s="1">
        <v>993</v>
      </c>
      <c r="G381" s="1" t="s">
        <v>21</v>
      </c>
      <c r="H381" s="1">
        <v>1.725</v>
      </c>
      <c r="I381" s="1">
        <v>1.682</v>
      </c>
      <c r="J381" s="1">
        <v>22.6571899994485</v>
      </c>
      <c r="K381" t="str">
        <f t="shared" si="30"/>
        <v>缺口过大</v>
      </c>
      <c r="L381" s="2">
        <f t="shared" si="31"/>
        <v>1406.25</v>
      </c>
      <c r="M381" s="2">
        <f t="shared" si="32"/>
        <v>2425.78125</v>
      </c>
      <c r="N381" s="2">
        <f t="shared" si="33"/>
        <v>1432.78125</v>
      </c>
      <c r="O381" s="2">
        <f t="shared" si="34"/>
        <v>352.55</v>
      </c>
      <c r="P381" s="2">
        <f t="shared" si="35"/>
        <v>705.1</v>
      </c>
    </row>
    <row r="382" spans="1:16">
      <c r="A382" s="1">
        <v>381</v>
      </c>
      <c r="B382" s="1">
        <v>27</v>
      </c>
      <c r="C382" s="1" t="s">
        <v>18</v>
      </c>
      <c r="D382" s="1">
        <v>160.7</v>
      </c>
      <c r="E382" s="1">
        <v>69.7</v>
      </c>
      <c r="F382" s="1">
        <v>1169</v>
      </c>
      <c r="G382" s="1" t="s">
        <v>20</v>
      </c>
      <c r="H382" s="1">
        <v>1.55</v>
      </c>
      <c r="I382" s="1">
        <v>1.607</v>
      </c>
      <c r="J382" s="1">
        <v>26.9898844081722</v>
      </c>
      <c r="K382" t="str">
        <f t="shared" si="30"/>
        <v>缺口过大</v>
      </c>
      <c r="L382" s="2">
        <f t="shared" si="31"/>
        <v>1405.375</v>
      </c>
      <c r="M382" s="2">
        <f t="shared" si="32"/>
        <v>2178.33125</v>
      </c>
      <c r="N382" s="2">
        <f t="shared" si="33"/>
        <v>1009.33125</v>
      </c>
      <c r="O382" s="2">
        <f t="shared" si="34"/>
        <v>383.35</v>
      </c>
      <c r="P382" s="2">
        <f t="shared" si="35"/>
        <v>766.7</v>
      </c>
    </row>
    <row r="383" spans="1:16">
      <c r="A383" s="1">
        <v>382</v>
      </c>
      <c r="B383" s="1">
        <v>23</v>
      </c>
      <c r="C383" s="1" t="s">
        <v>18</v>
      </c>
      <c r="D383" s="1">
        <v>155</v>
      </c>
      <c r="E383" s="1">
        <v>89.7</v>
      </c>
      <c r="F383" s="1">
        <v>1986</v>
      </c>
      <c r="G383" s="1" t="s">
        <v>21</v>
      </c>
      <c r="H383" s="1">
        <v>1.725</v>
      </c>
      <c r="I383" s="1">
        <v>1.55</v>
      </c>
      <c r="J383" s="1">
        <v>37.3361082206035</v>
      </c>
      <c r="K383" t="str">
        <f t="shared" si="30"/>
        <v>缺口合适</v>
      </c>
      <c r="L383" s="2">
        <f t="shared" si="31"/>
        <v>1589.75</v>
      </c>
      <c r="M383" s="2">
        <f t="shared" si="32"/>
        <v>2742.31875</v>
      </c>
      <c r="N383" s="2">
        <f t="shared" si="33"/>
        <v>756.31875</v>
      </c>
      <c r="O383" s="2">
        <f t="shared" si="34"/>
        <v>493.35</v>
      </c>
      <c r="P383" s="2">
        <f t="shared" si="35"/>
        <v>986.7</v>
      </c>
    </row>
    <row r="384" spans="1:16">
      <c r="A384" s="1">
        <v>383</v>
      </c>
      <c r="B384" s="1">
        <v>30</v>
      </c>
      <c r="C384" s="1" t="s">
        <v>16</v>
      </c>
      <c r="D384" s="1">
        <v>179</v>
      </c>
      <c r="E384" s="1">
        <v>60</v>
      </c>
      <c r="F384" s="1">
        <v>2799</v>
      </c>
      <c r="G384" s="1" t="s">
        <v>20</v>
      </c>
      <c r="H384" s="1">
        <v>1.55</v>
      </c>
      <c r="I384" s="1">
        <v>1.79</v>
      </c>
      <c r="J384" s="1">
        <v>18.7260073031428</v>
      </c>
      <c r="K384" t="str">
        <f t="shared" si="30"/>
        <v>没有热量缺口</v>
      </c>
      <c r="L384" s="2">
        <f t="shared" si="31"/>
        <v>1573.75</v>
      </c>
      <c r="M384" s="2">
        <f t="shared" si="32"/>
        <v>2439.3125</v>
      </c>
      <c r="N384" s="2">
        <f t="shared" si="33"/>
        <v>-359.6875</v>
      </c>
      <c r="O384" s="2">
        <f t="shared" si="34"/>
        <v>330</v>
      </c>
      <c r="P384" s="2">
        <f t="shared" si="35"/>
        <v>660</v>
      </c>
    </row>
    <row r="385" spans="1:16">
      <c r="A385" s="1">
        <v>384</v>
      </c>
      <c r="B385" s="1">
        <v>24</v>
      </c>
      <c r="C385" s="1" t="s">
        <v>16</v>
      </c>
      <c r="D385" s="1">
        <v>171</v>
      </c>
      <c r="E385" s="1">
        <v>52.3</v>
      </c>
      <c r="F385" s="1">
        <v>1999</v>
      </c>
      <c r="G385" s="1" t="s">
        <v>17</v>
      </c>
      <c r="H385" s="1">
        <v>1.375</v>
      </c>
      <c r="I385" s="1">
        <v>1.71</v>
      </c>
      <c r="J385" s="1">
        <v>17.8858452173318</v>
      </c>
      <c r="K385" t="str">
        <f t="shared" si="30"/>
        <v>缺口过小</v>
      </c>
      <c r="L385" s="2">
        <f t="shared" si="31"/>
        <v>1476.75</v>
      </c>
      <c r="M385" s="2">
        <f t="shared" si="32"/>
        <v>2030.53125</v>
      </c>
      <c r="N385" s="2">
        <f t="shared" si="33"/>
        <v>31.53125</v>
      </c>
      <c r="O385" s="2">
        <f t="shared" si="34"/>
        <v>287.65</v>
      </c>
      <c r="P385" s="2">
        <f t="shared" si="35"/>
        <v>575.3</v>
      </c>
    </row>
    <row r="386" spans="1:16">
      <c r="A386" s="1">
        <v>385</v>
      </c>
      <c r="B386" s="1">
        <v>22</v>
      </c>
      <c r="C386" s="1" t="s">
        <v>18</v>
      </c>
      <c r="D386" s="1">
        <v>155.3</v>
      </c>
      <c r="E386" s="1">
        <v>53.6</v>
      </c>
      <c r="F386" s="1">
        <v>1528</v>
      </c>
      <c r="G386" s="1" t="s">
        <v>21</v>
      </c>
      <c r="H386" s="1">
        <v>1.725</v>
      </c>
      <c r="I386" s="1">
        <v>1.553</v>
      </c>
      <c r="J386" s="1">
        <v>22.2239820814998</v>
      </c>
      <c r="K386" t="str">
        <f t="shared" ref="K386:K449" si="36">IF(N386&lt;=0,"没有热量缺口",IF(N386&lt;O386,"缺口过小",IF(N386&lt;=P386,"缺口合适","缺口过大")))</f>
        <v>缺口过大</v>
      </c>
      <c r="L386" s="2">
        <f t="shared" ref="L386:L449" si="37">IF(C386="male",10*E386+6.25*D386-5*B386+5,10*E386+6.25*D386-5*B386-161)</f>
        <v>1235.625</v>
      </c>
      <c r="M386" s="2">
        <f t="shared" ref="M386:M449" si="38">L386*H386</f>
        <v>2131.453125</v>
      </c>
      <c r="N386" s="2">
        <f t="shared" ref="N386:N449" si="39">M386-F386</f>
        <v>603.453125</v>
      </c>
      <c r="O386" s="2">
        <f t="shared" ref="O386:O449" si="40">E386*0.005*7700/7</f>
        <v>294.8</v>
      </c>
      <c r="P386" s="2">
        <f t="shared" ref="P386:P449" si="41">E386*0.01*7700/7</f>
        <v>589.6</v>
      </c>
    </row>
    <row r="387" spans="1:16">
      <c r="A387" s="1">
        <v>386</v>
      </c>
      <c r="B387" s="1">
        <v>21</v>
      </c>
      <c r="C387" s="1" t="s">
        <v>18</v>
      </c>
      <c r="D387" s="1">
        <v>165.5</v>
      </c>
      <c r="E387" s="1">
        <v>74.3</v>
      </c>
      <c r="F387" s="1">
        <v>1094</v>
      </c>
      <c r="G387" s="1" t="s">
        <v>17</v>
      </c>
      <c r="H387" s="1">
        <v>1.375</v>
      </c>
      <c r="I387" s="1">
        <v>1.655</v>
      </c>
      <c r="J387" s="1">
        <v>27.1264409780852</v>
      </c>
      <c r="K387" t="str">
        <f t="shared" si="36"/>
        <v>缺口过大</v>
      </c>
      <c r="L387" s="2">
        <f t="shared" si="37"/>
        <v>1511.375</v>
      </c>
      <c r="M387" s="2">
        <f t="shared" si="38"/>
        <v>2078.140625</v>
      </c>
      <c r="N387" s="2">
        <f t="shared" si="39"/>
        <v>984.140625</v>
      </c>
      <c r="O387" s="2">
        <f t="shared" si="40"/>
        <v>408.65</v>
      </c>
      <c r="P387" s="2">
        <f t="shared" si="41"/>
        <v>817.3</v>
      </c>
    </row>
    <row r="388" spans="1:16">
      <c r="A388" s="1">
        <v>387</v>
      </c>
      <c r="B388" s="1">
        <v>31</v>
      </c>
      <c r="C388" s="1" t="s">
        <v>16</v>
      </c>
      <c r="D388" s="1">
        <v>168</v>
      </c>
      <c r="E388" s="1">
        <v>114.7</v>
      </c>
      <c r="F388" s="1">
        <v>2322</v>
      </c>
      <c r="G388" s="1" t="s">
        <v>17</v>
      </c>
      <c r="H388" s="1">
        <v>1.375</v>
      </c>
      <c r="I388" s="1">
        <v>1.68</v>
      </c>
      <c r="J388" s="1">
        <v>40.6391723356009</v>
      </c>
      <c r="K388" t="str">
        <f t="shared" si="36"/>
        <v>缺口过小</v>
      </c>
      <c r="L388" s="2">
        <f t="shared" si="37"/>
        <v>2047</v>
      </c>
      <c r="M388" s="2">
        <f t="shared" si="38"/>
        <v>2814.625</v>
      </c>
      <c r="N388" s="2">
        <f t="shared" si="39"/>
        <v>492.625</v>
      </c>
      <c r="O388" s="2">
        <f t="shared" si="40"/>
        <v>630.85</v>
      </c>
      <c r="P388" s="2">
        <f t="shared" si="41"/>
        <v>1261.7</v>
      </c>
    </row>
    <row r="389" spans="1:16">
      <c r="A389" s="1">
        <v>388</v>
      </c>
      <c r="B389" s="1">
        <v>31</v>
      </c>
      <c r="C389" s="1" t="s">
        <v>16</v>
      </c>
      <c r="D389" s="1">
        <v>152.6</v>
      </c>
      <c r="E389" s="1">
        <v>58.7</v>
      </c>
      <c r="F389" s="1">
        <v>1532</v>
      </c>
      <c r="G389" s="1" t="s">
        <v>17</v>
      </c>
      <c r="H389" s="1">
        <v>1.375</v>
      </c>
      <c r="I389" s="1">
        <v>1.526</v>
      </c>
      <c r="J389" s="1">
        <v>25.2074569411974</v>
      </c>
      <c r="K389" t="str">
        <f t="shared" si="36"/>
        <v>缺口合适</v>
      </c>
      <c r="L389" s="2">
        <f t="shared" si="37"/>
        <v>1390.75</v>
      </c>
      <c r="M389" s="2">
        <f t="shared" si="38"/>
        <v>1912.28125</v>
      </c>
      <c r="N389" s="2">
        <f t="shared" si="39"/>
        <v>380.28125</v>
      </c>
      <c r="O389" s="2">
        <f t="shared" si="40"/>
        <v>322.85</v>
      </c>
      <c r="P389" s="2">
        <f t="shared" si="41"/>
        <v>645.7</v>
      </c>
    </row>
    <row r="390" spans="1:16">
      <c r="A390" s="1">
        <v>389</v>
      </c>
      <c r="B390" s="1">
        <v>25</v>
      </c>
      <c r="C390" s="1" t="s">
        <v>16</v>
      </c>
      <c r="D390" s="1">
        <v>184.5</v>
      </c>
      <c r="E390" s="1">
        <v>93.2</v>
      </c>
      <c r="F390" s="1">
        <v>1906</v>
      </c>
      <c r="G390" s="1" t="s">
        <v>21</v>
      </c>
      <c r="H390" s="1">
        <v>1.725</v>
      </c>
      <c r="I390" s="1">
        <v>1.845</v>
      </c>
      <c r="J390" s="1">
        <v>27.3793523843097</v>
      </c>
      <c r="K390" t="str">
        <f t="shared" si="36"/>
        <v>缺口过大</v>
      </c>
      <c r="L390" s="2">
        <f t="shared" si="37"/>
        <v>1965.125</v>
      </c>
      <c r="M390" s="2">
        <f t="shared" si="38"/>
        <v>3389.840625</v>
      </c>
      <c r="N390" s="2">
        <f t="shared" si="39"/>
        <v>1483.840625</v>
      </c>
      <c r="O390" s="2">
        <f t="shared" si="40"/>
        <v>512.6</v>
      </c>
      <c r="P390" s="2">
        <f t="shared" si="41"/>
        <v>1025.2</v>
      </c>
    </row>
    <row r="391" spans="1:16">
      <c r="A391" s="1">
        <v>390</v>
      </c>
      <c r="B391" s="1">
        <v>31</v>
      </c>
      <c r="C391" s="1" t="s">
        <v>18</v>
      </c>
      <c r="D391" s="1">
        <v>157.9</v>
      </c>
      <c r="E391" s="1">
        <v>56.6</v>
      </c>
      <c r="F391" s="1">
        <v>2328</v>
      </c>
      <c r="G391" s="1" t="s">
        <v>21</v>
      </c>
      <c r="H391" s="1">
        <v>1.725</v>
      </c>
      <c r="I391" s="1">
        <v>1.579</v>
      </c>
      <c r="J391" s="1">
        <v>22.7013754386359</v>
      </c>
      <c r="K391" t="str">
        <f t="shared" si="36"/>
        <v>没有热量缺口</v>
      </c>
      <c r="L391" s="2">
        <f t="shared" si="37"/>
        <v>1236.875</v>
      </c>
      <c r="M391" s="2">
        <f t="shared" si="38"/>
        <v>2133.609375</v>
      </c>
      <c r="N391" s="2">
        <f t="shared" si="39"/>
        <v>-194.390625</v>
      </c>
      <c r="O391" s="2">
        <f t="shared" si="40"/>
        <v>311.3</v>
      </c>
      <c r="P391" s="2">
        <f t="shared" si="41"/>
        <v>622.6</v>
      </c>
    </row>
    <row r="392" spans="1:16">
      <c r="A392" s="1">
        <v>391</v>
      </c>
      <c r="B392" s="1">
        <v>33</v>
      </c>
      <c r="C392" s="1" t="s">
        <v>18</v>
      </c>
      <c r="D392" s="1">
        <v>164.6</v>
      </c>
      <c r="E392" s="1">
        <v>60.7</v>
      </c>
      <c r="F392" s="1">
        <v>3874</v>
      </c>
      <c r="G392" s="1" t="s">
        <v>17</v>
      </c>
      <c r="H392" s="1">
        <v>1.375</v>
      </c>
      <c r="I392" s="1">
        <v>1.646</v>
      </c>
      <c r="J392" s="1">
        <v>22.4041787668917</v>
      </c>
      <c r="K392" t="str">
        <f t="shared" si="36"/>
        <v>没有热量缺口</v>
      </c>
      <c r="L392" s="2">
        <f t="shared" si="37"/>
        <v>1309.75</v>
      </c>
      <c r="M392" s="2">
        <f t="shared" si="38"/>
        <v>1800.90625</v>
      </c>
      <c r="N392" s="2">
        <f t="shared" si="39"/>
        <v>-2073.09375</v>
      </c>
      <c r="O392" s="2">
        <f t="shared" si="40"/>
        <v>333.85</v>
      </c>
      <c r="P392" s="2">
        <f t="shared" si="41"/>
        <v>667.7</v>
      </c>
    </row>
    <row r="393" spans="1:16">
      <c r="A393" s="1">
        <v>392</v>
      </c>
      <c r="B393" s="1">
        <v>32</v>
      </c>
      <c r="C393" s="1" t="s">
        <v>18</v>
      </c>
      <c r="D393" s="1">
        <v>168.8</v>
      </c>
      <c r="E393" s="1">
        <v>104.2</v>
      </c>
      <c r="F393" s="1">
        <v>1079</v>
      </c>
      <c r="G393" s="1" t="s">
        <v>17</v>
      </c>
      <c r="H393" s="1">
        <v>1.375</v>
      </c>
      <c r="I393" s="1">
        <v>1.688</v>
      </c>
      <c r="J393" s="1">
        <v>36.5698209833561</v>
      </c>
      <c r="K393" t="str">
        <f t="shared" si="36"/>
        <v>缺口过大</v>
      </c>
      <c r="L393" s="2">
        <f t="shared" si="37"/>
        <v>1776</v>
      </c>
      <c r="M393" s="2">
        <f t="shared" si="38"/>
        <v>2442</v>
      </c>
      <c r="N393" s="2">
        <f t="shared" si="39"/>
        <v>1363</v>
      </c>
      <c r="O393" s="2">
        <f t="shared" si="40"/>
        <v>573.1</v>
      </c>
      <c r="P393" s="2">
        <f t="shared" si="41"/>
        <v>1146.2</v>
      </c>
    </row>
    <row r="394" spans="1:16">
      <c r="A394" s="1">
        <v>393</v>
      </c>
      <c r="B394" s="1">
        <v>29</v>
      </c>
      <c r="C394" s="1" t="s">
        <v>16</v>
      </c>
      <c r="D394" s="1">
        <v>181.1</v>
      </c>
      <c r="E394" s="1">
        <v>66.9</v>
      </c>
      <c r="F394" s="1">
        <v>3670</v>
      </c>
      <c r="G394" s="1" t="s">
        <v>20</v>
      </c>
      <c r="H394" s="1">
        <v>1.55</v>
      </c>
      <c r="I394" s="1">
        <v>1.811</v>
      </c>
      <c r="J394" s="1">
        <v>20.398076543706</v>
      </c>
      <c r="K394" t="str">
        <f t="shared" si="36"/>
        <v>没有热量缺口</v>
      </c>
      <c r="L394" s="2">
        <f t="shared" si="37"/>
        <v>1660.875</v>
      </c>
      <c r="M394" s="2">
        <f t="shared" si="38"/>
        <v>2574.35625</v>
      </c>
      <c r="N394" s="2">
        <f t="shared" si="39"/>
        <v>-1095.64375</v>
      </c>
      <c r="O394" s="2">
        <f t="shared" si="40"/>
        <v>367.95</v>
      </c>
      <c r="P394" s="2">
        <f t="shared" si="41"/>
        <v>735.9</v>
      </c>
    </row>
    <row r="395" spans="1:16">
      <c r="A395" s="1">
        <v>394</v>
      </c>
      <c r="B395" s="1">
        <v>32</v>
      </c>
      <c r="C395" s="1" t="s">
        <v>18</v>
      </c>
      <c r="D395" s="1">
        <v>167.5</v>
      </c>
      <c r="E395" s="1">
        <v>69</v>
      </c>
      <c r="F395" s="1">
        <v>2576</v>
      </c>
      <c r="G395" s="1" t="s">
        <v>17</v>
      </c>
      <c r="H395" s="1">
        <v>1.375</v>
      </c>
      <c r="I395" s="1">
        <v>1.675</v>
      </c>
      <c r="J395" s="1">
        <v>24.5934506571619</v>
      </c>
      <c r="K395" t="str">
        <f t="shared" si="36"/>
        <v>没有热量缺口</v>
      </c>
      <c r="L395" s="2">
        <f t="shared" si="37"/>
        <v>1415.875</v>
      </c>
      <c r="M395" s="2">
        <f t="shared" si="38"/>
        <v>1946.828125</v>
      </c>
      <c r="N395" s="2">
        <f t="shared" si="39"/>
        <v>-629.171875</v>
      </c>
      <c r="O395" s="2">
        <f t="shared" si="40"/>
        <v>379.5</v>
      </c>
      <c r="P395" s="2">
        <f t="shared" si="41"/>
        <v>759</v>
      </c>
    </row>
    <row r="396" spans="1:16">
      <c r="A396" s="1">
        <v>395</v>
      </c>
      <c r="B396" s="1">
        <v>32</v>
      </c>
      <c r="C396" s="1" t="s">
        <v>16</v>
      </c>
      <c r="D396" s="1">
        <v>178.3</v>
      </c>
      <c r="E396" s="1">
        <v>73.1</v>
      </c>
      <c r="F396" s="1">
        <v>1193</v>
      </c>
      <c r="G396" s="1" t="s">
        <v>17</v>
      </c>
      <c r="H396" s="1">
        <v>1.375</v>
      </c>
      <c r="I396" s="1">
        <v>1.783</v>
      </c>
      <c r="J396" s="1">
        <v>22.9940086609717</v>
      </c>
      <c r="K396" t="str">
        <f t="shared" si="36"/>
        <v>缺口过大</v>
      </c>
      <c r="L396" s="2">
        <f t="shared" si="37"/>
        <v>1690.375</v>
      </c>
      <c r="M396" s="2">
        <f t="shared" si="38"/>
        <v>2324.265625</v>
      </c>
      <c r="N396" s="2">
        <f t="shared" si="39"/>
        <v>1131.265625</v>
      </c>
      <c r="O396" s="2">
        <f t="shared" si="40"/>
        <v>402.05</v>
      </c>
      <c r="P396" s="2">
        <f t="shared" si="41"/>
        <v>804.1</v>
      </c>
    </row>
    <row r="397" spans="1:16">
      <c r="A397" s="1">
        <v>396</v>
      </c>
      <c r="B397" s="1">
        <v>34</v>
      </c>
      <c r="C397" s="1" t="s">
        <v>18</v>
      </c>
      <c r="D397" s="1">
        <v>164.5</v>
      </c>
      <c r="E397" s="1">
        <v>70.7</v>
      </c>
      <c r="F397" s="1">
        <v>1651</v>
      </c>
      <c r="G397" s="1" t="s">
        <v>20</v>
      </c>
      <c r="H397" s="1">
        <v>1.55</v>
      </c>
      <c r="I397" s="1">
        <v>1.645</v>
      </c>
      <c r="J397" s="1">
        <v>26.1268835284226</v>
      </c>
      <c r="K397" t="str">
        <f t="shared" si="36"/>
        <v>缺口合适</v>
      </c>
      <c r="L397" s="2">
        <f t="shared" si="37"/>
        <v>1404.125</v>
      </c>
      <c r="M397" s="2">
        <f t="shared" si="38"/>
        <v>2176.39375</v>
      </c>
      <c r="N397" s="2">
        <f t="shared" si="39"/>
        <v>525.39375</v>
      </c>
      <c r="O397" s="2">
        <f t="shared" si="40"/>
        <v>388.85</v>
      </c>
      <c r="P397" s="2">
        <f t="shared" si="41"/>
        <v>777.7</v>
      </c>
    </row>
    <row r="398" spans="1:16">
      <c r="A398" s="1">
        <v>397</v>
      </c>
      <c r="B398" s="1">
        <v>31</v>
      </c>
      <c r="C398" s="1" t="s">
        <v>16</v>
      </c>
      <c r="D398" s="1">
        <v>182.6</v>
      </c>
      <c r="E398" s="1">
        <v>75.8</v>
      </c>
      <c r="F398" s="1">
        <v>4210</v>
      </c>
      <c r="G398" s="1" t="s">
        <v>20</v>
      </c>
      <c r="H398" s="1">
        <v>1.55</v>
      </c>
      <c r="I398" s="1">
        <v>1.82599999999999</v>
      </c>
      <c r="J398" s="1">
        <v>22.7335709461364</v>
      </c>
      <c r="K398" t="str">
        <f t="shared" si="36"/>
        <v>没有热量缺口</v>
      </c>
      <c r="L398" s="2">
        <f t="shared" si="37"/>
        <v>1749.25</v>
      </c>
      <c r="M398" s="2">
        <f t="shared" si="38"/>
        <v>2711.3375</v>
      </c>
      <c r="N398" s="2">
        <f t="shared" si="39"/>
        <v>-1498.6625</v>
      </c>
      <c r="O398" s="2">
        <f t="shared" si="40"/>
        <v>416.9</v>
      </c>
      <c r="P398" s="2">
        <f t="shared" si="41"/>
        <v>833.8</v>
      </c>
    </row>
    <row r="399" spans="1:16">
      <c r="A399" s="1">
        <v>398</v>
      </c>
      <c r="B399" s="1">
        <v>32</v>
      </c>
      <c r="C399" s="1" t="s">
        <v>18</v>
      </c>
      <c r="D399" s="1">
        <v>157.9</v>
      </c>
      <c r="E399" s="1">
        <v>53.1</v>
      </c>
      <c r="F399" s="1">
        <v>958</v>
      </c>
      <c r="G399" s="1" t="s">
        <v>19</v>
      </c>
      <c r="H399" s="1">
        <v>1.2</v>
      </c>
      <c r="I399" s="1">
        <v>1.579</v>
      </c>
      <c r="J399" s="1">
        <v>21.2975801376601</v>
      </c>
      <c r="K399" t="str">
        <f t="shared" si="36"/>
        <v>缺口合适</v>
      </c>
      <c r="L399" s="2">
        <f t="shared" si="37"/>
        <v>1196.875</v>
      </c>
      <c r="M399" s="2">
        <f t="shared" si="38"/>
        <v>1436.25</v>
      </c>
      <c r="N399" s="2">
        <f t="shared" si="39"/>
        <v>478.25</v>
      </c>
      <c r="O399" s="2">
        <f t="shared" si="40"/>
        <v>292.05</v>
      </c>
      <c r="P399" s="2">
        <f t="shared" si="41"/>
        <v>584.1</v>
      </c>
    </row>
    <row r="400" spans="1:16">
      <c r="A400" s="1">
        <v>399</v>
      </c>
      <c r="B400" s="1">
        <v>27</v>
      </c>
      <c r="C400" s="1" t="s">
        <v>18</v>
      </c>
      <c r="D400" s="1">
        <v>170</v>
      </c>
      <c r="E400" s="1">
        <v>77</v>
      </c>
      <c r="F400" s="1">
        <v>1320</v>
      </c>
      <c r="G400" s="1" t="s">
        <v>17</v>
      </c>
      <c r="H400" s="1">
        <v>1.375</v>
      </c>
      <c r="I400" s="1">
        <v>1.7</v>
      </c>
      <c r="J400" s="1">
        <v>26.6435986159169</v>
      </c>
      <c r="K400" t="str">
        <f t="shared" si="36"/>
        <v>缺口合适</v>
      </c>
      <c r="L400" s="2">
        <f t="shared" si="37"/>
        <v>1536.5</v>
      </c>
      <c r="M400" s="2">
        <f t="shared" si="38"/>
        <v>2112.6875</v>
      </c>
      <c r="N400" s="2">
        <f t="shared" si="39"/>
        <v>792.6875</v>
      </c>
      <c r="O400" s="2">
        <f t="shared" si="40"/>
        <v>423.5</v>
      </c>
      <c r="P400" s="2">
        <f t="shared" si="41"/>
        <v>847</v>
      </c>
    </row>
    <row r="401" spans="1:16">
      <c r="A401" s="1">
        <v>400</v>
      </c>
      <c r="B401" s="1">
        <v>33</v>
      </c>
      <c r="C401" s="1" t="s">
        <v>18</v>
      </c>
      <c r="D401" s="1">
        <v>177.5</v>
      </c>
      <c r="E401" s="1">
        <v>118.2</v>
      </c>
      <c r="F401" s="1">
        <v>1591</v>
      </c>
      <c r="G401" s="1" t="s">
        <v>17</v>
      </c>
      <c r="H401" s="1">
        <v>1.375</v>
      </c>
      <c r="I401" s="1">
        <v>1.775</v>
      </c>
      <c r="J401" s="1">
        <v>37.5163658004364</v>
      </c>
      <c r="K401" t="str">
        <f t="shared" si="36"/>
        <v>缺口合适</v>
      </c>
      <c r="L401" s="2">
        <f t="shared" si="37"/>
        <v>1965.375</v>
      </c>
      <c r="M401" s="2">
        <f t="shared" si="38"/>
        <v>2702.390625</v>
      </c>
      <c r="N401" s="2">
        <f t="shared" si="39"/>
        <v>1111.390625</v>
      </c>
      <c r="O401" s="2">
        <f t="shared" si="40"/>
        <v>650.1</v>
      </c>
      <c r="P401" s="2">
        <f t="shared" si="41"/>
        <v>1300.2</v>
      </c>
    </row>
    <row r="402" spans="1:16">
      <c r="A402" s="1">
        <v>401</v>
      </c>
      <c r="B402" s="1">
        <v>34</v>
      </c>
      <c r="C402" s="1" t="s">
        <v>18</v>
      </c>
      <c r="D402" s="1">
        <v>150.8</v>
      </c>
      <c r="E402" s="1">
        <v>56.6</v>
      </c>
      <c r="F402" s="1">
        <v>1727</v>
      </c>
      <c r="G402" s="1" t="s">
        <v>20</v>
      </c>
      <c r="H402" s="1">
        <v>1.55</v>
      </c>
      <c r="I402" s="1">
        <v>1.508</v>
      </c>
      <c r="J402" s="1">
        <v>24.889361073391</v>
      </c>
      <c r="K402" t="str">
        <f t="shared" si="36"/>
        <v>缺口过小</v>
      </c>
      <c r="L402" s="2">
        <f t="shared" si="37"/>
        <v>1177.5</v>
      </c>
      <c r="M402" s="2">
        <f t="shared" si="38"/>
        <v>1825.125</v>
      </c>
      <c r="N402" s="2">
        <f t="shared" si="39"/>
        <v>98.125</v>
      </c>
      <c r="O402" s="2">
        <f t="shared" si="40"/>
        <v>311.3</v>
      </c>
      <c r="P402" s="2">
        <f t="shared" si="41"/>
        <v>622.6</v>
      </c>
    </row>
    <row r="403" spans="1:16">
      <c r="A403" s="1">
        <v>402</v>
      </c>
      <c r="B403" s="1">
        <v>25</v>
      </c>
      <c r="C403" s="1" t="s">
        <v>16</v>
      </c>
      <c r="D403" s="1">
        <v>169.3</v>
      </c>
      <c r="E403" s="1">
        <v>94.8</v>
      </c>
      <c r="F403" s="1">
        <v>2060</v>
      </c>
      <c r="G403" s="1" t="s">
        <v>20</v>
      </c>
      <c r="H403" s="1">
        <v>1.55</v>
      </c>
      <c r="I403" s="1">
        <v>1.693</v>
      </c>
      <c r="J403" s="1">
        <v>33.0745863321714</v>
      </c>
      <c r="K403" t="str">
        <f t="shared" si="36"/>
        <v>缺口合适</v>
      </c>
      <c r="L403" s="2">
        <f t="shared" si="37"/>
        <v>1886.125</v>
      </c>
      <c r="M403" s="2">
        <f t="shared" si="38"/>
        <v>2923.49375</v>
      </c>
      <c r="N403" s="2">
        <f t="shared" si="39"/>
        <v>863.49375</v>
      </c>
      <c r="O403" s="2">
        <f t="shared" si="40"/>
        <v>521.4</v>
      </c>
      <c r="P403" s="2">
        <f t="shared" si="41"/>
        <v>1042.8</v>
      </c>
    </row>
    <row r="404" spans="1:16">
      <c r="A404" s="1">
        <v>403</v>
      </c>
      <c r="B404" s="1">
        <v>20</v>
      </c>
      <c r="C404" s="1" t="s">
        <v>18</v>
      </c>
      <c r="D404" s="1">
        <v>174.3</v>
      </c>
      <c r="E404" s="1">
        <v>58.6</v>
      </c>
      <c r="F404" s="1">
        <v>5650</v>
      </c>
      <c r="G404" s="1" t="s">
        <v>21</v>
      </c>
      <c r="H404" s="1">
        <v>1.725</v>
      </c>
      <c r="I404" s="1">
        <v>1.743</v>
      </c>
      <c r="J404" s="1">
        <v>19.2886948169697</v>
      </c>
      <c r="K404" t="str">
        <f t="shared" si="36"/>
        <v>没有热量缺口</v>
      </c>
      <c r="L404" s="2">
        <f t="shared" si="37"/>
        <v>1414.375</v>
      </c>
      <c r="M404" s="2">
        <f t="shared" si="38"/>
        <v>2439.796875</v>
      </c>
      <c r="N404" s="2">
        <f t="shared" si="39"/>
        <v>-3210.203125</v>
      </c>
      <c r="O404" s="2">
        <f t="shared" si="40"/>
        <v>322.3</v>
      </c>
      <c r="P404" s="2">
        <f t="shared" si="41"/>
        <v>644.6</v>
      </c>
    </row>
    <row r="405" spans="1:16">
      <c r="A405" s="1">
        <v>404</v>
      </c>
      <c r="B405" s="1">
        <v>21</v>
      </c>
      <c r="C405" s="1" t="s">
        <v>18</v>
      </c>
      <c r="D405" s="1">
        <v>154.3</v>
      </c>
      <c r="E405" s="1">
        <v>50.7</v>
      </c>
      <c r="F405" s="1">
        <v>1412</v>
      </c>
      <c r="G405" s="1" t="s">
        <v>19</v>
      </c>
      <c r="H405" s="1">
        <v>1.2</v>
      </c>
      <c r="I405" s="1">
        <v>1.543</v>
      </c>
      <c r="J405" s="1">
        <v>21.2949246256272</v>
      </c>
      <c r="K405" t="str">
        <f t="shared" si="36"/>
        <v>缺口过小</v>
      </c>
      <c r="L405" s="2">
        <f t="shared" si="37"/>
        <v>1205.375</v>
      </c>
      <c r="M405" s="2">
        <f t="shared" si="38"/>
        <v>1446.45</v>
      </c>
      <c r="N405" s="2">
        <f t="shared" si="39"/>
        <v>34.45</v>
      </c>
      <c r="O405" s="2">
        <f t="shared" si="40"/>
        <v>278.85</v>
      </c>
      <c r="P405" s="2">
        <f t="shared" si="41"/>
        <v>557.7</v>
      </c>
    </row>
    <row r="406" spans="1:16">
      <c r="A406" s="1">
        <v>405</v>
      </c>
      <c r="B406" s="1">
        <v>25</v>
      </c>
      <c r="C406" s="1" t="s">
        <v>18</v>
      </c>
      <c r="D406" s="1">
        <v>162</v>
      </c>
      <c r="E406" s="1">
        <v>65.1</v>
      </c>
      <c r="F406" s="1">
        <v>2441</v>
      </c>
      <c r="G406" s="1" t="s">
        <v>19</v>
      </c>
      <c r="H406" s="1">
        <v>1.2</v>
      </c>
      <c r="I406" s="1">
        <v>1.62</v>
      </c>
      <c r="J406" s="1">
        <v>24.8056698673982</v>
      </c>
      <c r="K406" t="str">
        <f t="shared" si="36"/>
        <v>没有热量缺口</v>
      </c>
      <c r="L406" s="2">
        <f t="shared" si="37"/>
        <v>1377.5</v>
      </c>
      <c r="M406" s="2">
        <f t="shared" si="38"/>
        <v>1653</v>
      </c>
      <c r="N406" s="2">
        <f t="shared" si="39"/>
        <v>-788</v>
      </c>
      <c r="O406" s="2">
        <f t="shared" si="40"/>
        <v>358.05</v>
      </c>
      <c r="P406" s="2">
        <f t="shared" si="41"/>
        <v>716.1</v>
      </c>
    </row>
    <row r="407" spans="1:16">
      <c r="A407" s="1">
        <v>406</v>
      </c>
      <c r="B407" s="1">
        <v>21</v>
      </c>
      <c r="C407" s="1" t="s">
        <v>18</v>
      </c>
      <c r="D407" s="1">
        <v>164.3</v>
      </c>
      <c r="E407" s="1">
        <v>60.8</v>
      </c>
      <c r="F407" s="1">
        <v>1147</v>
      </c>
      <c r="G407" s="1" t="s">
        <v>21</v>
      </c>
      <c r="H407" s="1">
        <v>1.725</v>
      </c>
      <c r="I407" s="1">
        <v>1.643</v>
      </c>
      <c r="J407" s="1">
        <v>22.5231149023374</v>
      </c>
      <c r="K407" t="str">
        <f t="shared" si="36"/>
        <v>缺口过大</v>
      </c>
      <c r="L407" s="2">
        <f t="shared" si="37"/>
        <v>1368.875</v>
      </c>
      <c r="M407" s="2">
        <f t="shared" si="38"/>
        <v>2361.309375</v>
      </c>
      <c r="N407" s="2">
        <f t="shared" si="39"/>
        <v>1214.309375</v>
      </c>
      <c r="O407" s="2">
        <f t="shared" si="40"/>
        <v>334.4</v>
      </c>
      <c r="P407" s="2">
        <f t="shared" si="41"/>
        <v>668.8</v>
      </c>
    </row>
    <row r="408" spans="1:16">
      <c r="A408" s="1">
        <v>407</v>
      </c>
      <c r="B408" s="1">
        <v>23</v>
      </c>
      <c r="C408" s="1" t="s">
        <v>16</v>
      </c>
      <c r="D408" s="1">
        <v>183.4</v>
      </c>
      <c r="E408" s="1">
        <v>94.7</v>
      </c>
      <c r="F408" s="1">
        <v>1409</v>
      </c>
      <c r="G408" s="1" t="s">
        <v>17</v>
      </c>
      <c r="H408" s="1">
        <v>1.375</v>
      </c>
      <c r="I408" s="1">
        <v>1.834</v>
      </c>
      <c r="J408" s="1">
        <v>28.1547267237411</v>
      </c>
      <c r="K408" t="str">
        <f t="shared" si="36"/>
        <v>缺口过大</v>
      </c>
      <c r="L408" s="2">
        <f t="shared" si="37"/>
        <v>1983.25</v>
      </c>
      <c r="M408" s="2">
        <f t="shared" si="38"/>
        <v>2726.96875</v>
      </c>
      <c r="N408" s="2">
        <f t="shared" si="39"/>
        <v>1317.96875</v>
      </c>
      <c r="O408" s="2">
        <f t="shared" si="40"/>
        <v>520.85</v>
      </c>
      <c r="P408" s="2">
        <f t="shared" si="41"/>
        <v>1041.7</v>
      </c>
    </row>
    <row r="409" spans="1:16">
      <c r="A409" s="1">
        <v>408</v>
      </c>
      <c r="B409" s="1">
        <v>28</v>
      </c>
      <c r="C409" s="1" t="s">
        <v>18</v>
      </c>
      <c r="D409" s="1">
        <v>172.2</v>
      </c>
      <c r="E409" s="1">
        <v>173.9</v>
      </c>
      <c r="F409" s="1">
        <v>1835</v>
      </c>
      <c r="G409" s="1" t="s">
        <v>19</v>
      </c>
      <c r="H409" s="1">
        <v>1.2</v>
      </c>
      <c r="I409" s="1">
        <v>1.722</v>
      </c>
      <c r="J409" s="1">
        <v>58.6453101962577</v>
      </c>
      <c r="K409" t="str">
        <f t="shared" si="36"/>
        <v>缺口合适</v>
      </c>
      <c r="L409" s="2">
        <f t="shared" si="37"/>
        <v>2514.25</v>
      </c>
      <c r="M409" s="2">
        <f t="shared" si="38"/>
        <v>3017.1</v>
      </c>
      <c r="N409" s="2">
        <f t="shared" si="39"/>
        <v>1182.1</v>
      </c>
      <c r="O409" s="2">
        <f t="shared" si="40"/>
        <v>956.45</v>
      </c>
      <c r="P409" s="2">
        <f t="shared" si="41"/>
        <v>1912.9</v>
      </c>
    </row>
    <row r="410" spans="1:16">
      <c r="A410" s="1">
        <v>409</v>
      </c>
      <c r="B410" s="1">
        <v>20</v>
      </c>
      <c r="C410" s="1" t="s">
        <v>18</v>
      </c>
      <c r="D410" s="1">
        <v>164.3</v>
      </c>
      <c r="E410" s="1">
        <v>54.5</v>
      </c>
      <c r="F410" s="1">
        <v>1028</v>
      </c>
      <c r="G410" s="1" t="s">
        <v>17</v>
      </c>
      <c r="H410" s="1">
        <v>1.375</v>
      </c>
      <c r="I410" s="1">
        <v>1.643</v>
      </c>
      <c r="J410" s="1">
        <v>20.1893052989702</v>
      </c>
      <c r="K410" t="str">
        <f t="shared" si="36"/>
        <v>缺口过大</v>
      </c>
      <c r="L410" s="2">
        <f t="shared" si="37"/>
        <v>1310.875</v>
      </c>
      <c r="M410" s="2">
        <f t="shared" si="38"/>
        <v>1802.453125</v>
      </c>
      <c r="N410" s="2">
        <f t="shared" si="39"/>
        <v>774.453125</v>
      </c>
      <c r="O410" s="2">
        <f t="shared" si="40"/>
        <v>299.75</v>
      </c>
      <c r="P410" s="2">
        <f t="shared" si="41"/>
        <v>599.5</v>
      </c>
    </row>
    <row r="411" spans="1:16">
      <c r="A411" s="1">
        <v>410</v>
      </c>
      <c r="B411" s="1">
        <v>23</v>
      </c>
      <c r="C411" s="1" t="s">
        <v>16</v>
      </c>
      <c r="D411" s="1">
        <v>180.2</v>
      </c>
      <c r="E411" s="1">
        <v>70.7</v>
      </c>
      <c r="F411" s="1">
        <v>1219</v>
      </c>
      <c r="G411" s="1" t="s">
        <v>21</v>
      </c>
      <c r="H411" s="1">
        <v>1.725</v>
      </c>
      <c r="I411" s="1">
        <v>1.80199999999999</v>
      </c>
      <c r="J411" s="1">
        <v>21.7725772695525</v>
      </c>
      <c r="K411" t="str">
        <f t="shared" si="36"/>
        <v>缺口过大</v>
      </c>
      <c r="L411" s="2">
        <f t="shared" si="37"/>
        <v>1723.25</v>
      </c>
      <c r="M411" s="2">
        <f t="shared" si="38"/>
        <v>2972.60625</v>
      </c>
      <c r="N411" s="2">
        <f t="shared" si="39"/>
        <v>1753.60625</v>
      </c>
      <c r="O411" s="2">
        <f t="shared" si="40"/>
        <v>388.85</v>
      </c>
      <c r="P411" s="2">
        <f t="shared" si="41"/>
        <v>777.7</v>
      </c>
    </row>
    <row r="412" spans="1:16">
      <c r="A412" s="1">
        <v>411</v>
      </c>
      <c r="B412" s="1">
        <v>27</v>
      </c>
      <c r="C412" s="1" t="s">
        <v>16</v>
      </c>
      <c r="D412" s="1">
        <v>163.4</v>
      </c>
      <c r="E412" s="1">
        <v>98.9</v>
      </c>
      <c r="F412" s="1">
        <v>1272</v>
      </c>
      <c r="G412" s="1" t="s">
        <v>21</v>
      </c>
      <c r="H412" s="1">
        <v>1.725</v>
      </c>
      <c r="I412" s="1">
        <v>1.634</v>
      </c>
      <c r="J412" s="1">
        <v>37.0418089286864</v>
      </c>
      <c r="K412" t="str">
        <f t="shared" si="36"/>
        <v>缺口过大</v>
      </c>
      <c r="L412" s="2">
        <f t="shared" si="37"/>
        <v>1880.25</v>
      </c>
      <c r="M412" s="2">
        <f t="shared" si="38"/>
        <v>3243.43125</v>
      </c>
      <c r="N412" s="2">
        <f t="shared" si="39"/>
        <v>1971.43125</v>
      </c>
      <c r="O412" s="2">
        <f t="shared" si="40"/>
        <v>543.95</v>
      </c>
      <c r="P412" s="2">
        <f t="shared" si="41"/>
        <v>1087.9</v>
      </c>
    </row>
    <row r="413" spans="1:16">
      <c r="A413" s="1">
        <v>412</v>
      </c>
      <c r="B413" s="1">
        <v>21</v>
      </c>
      <c r="C413" s="1" t="s">
        <v>18</v>
      </c>
      <c r="D413" s="1">
        <v>164.8</v>
      </c>
      <c r="E413" s="1">
        <v>63.5</v>
      </c>
      <c r="F413" s="1">
        <v>2159</v>
      </c>
      <c r="G413" s="1" t="s">
        <v>17</v>
      </c>
      <c r="H413" s="1">
        <v>1.375</v>
      </c>
      <c r="I413" s="1">
        <v>1.648</v>
      </c>
      <c r="J413" s="1">
        <v>23.3807969648411</v>
      </c>
      <c r="K413" t="str">
        <f t="shared" si="36"/>
        <v>没有热量缺口</v>
      </c>
      <c r="L413" s="2">
        <f t="shared" si="37"/>
        <v>1399</v>
      </c>
      <c r="M413" s="2">
        <f t="shared" si="38"/>
        <v>1923.625</v>
      </c>
      <c r="N413" s="2">
        <f t="shared" si="39"/>
        <v>-235.375</v>
      </c>
      <c r="O413" s="2">
        <f t="shared" si="40"/>
        <v>349.25</v>
      </c>
      <c r="P413" s="2">
        <f t="shared" si="41"/>
        <v>698.5</v>
      </c>
    </row>
    <row r="414" spans="1:16">
      <c r="A414" s="1">
        <v>413</v>
      </c>
      <c r="B414" s="1">
        <v>31</v>
      </c>
      <c r="C414" s="1" t="s">
        <v>16</v>
      </c>
      <c r="D414" s="1">
        <v>175.5</v>
      </c>
      <c r="E414" s="1">
        <v>80.6</v>
      </c>
      <c r="F414" s="1">
        <v>2309</v>
      </c>
      <c r="G414" s="1" t="s">
        <v>21</v>
      </c>
      <c r="H414" s="1">
        <v>1.725</v>
      </c>
      <c r="I414" s="1">
        <v>1.755</v>
      </c>
      <c r="J414" s="1">
        <v>26.1686187612113</v>
      </c>
      <c r="K414" t="str">
        <f t="shared" si="36"/>
        <v>缺口合适</v>
      </c>
      <c r="L414" s="2">
        <f t="shared" si="37"/>
        <v>1752.875</v>
      </c>
      <c r="M414" s="2">
        <f t="shared" si="38"/>
        <v>3023.709375</v>
      </c>
      <c r="N414" s="2">
        <f t="shared" si="39"/>
        <v>714.709375</v>
      </c>
      <c r="O414" s="2">
        <f t="shared" si="40"/>
        <v>443.3</v>
      </c>
      <c r="P414" s="2">
        <f t="shared" si="41"/>
        <v>886.6</v>
      </c>
    </row>
    <row r="415" spans="1:16">
      <c r="A415" s="1">
        <v>414</v>
      </c>
      <c r="B415" s="1">
        <v>33</v>
      </c>
      <c r="C415" s="1" t="s">
        <v>18</v>
      </c>
      <c r="D415" s="1">
        <v>158.8</v>
      </c>
      <c r="E415" s="1">
        <v>53</v>
      </c>
      <c r="F415" s="1">
        <v>1882</v>
      </c>
      <c r="G415" s="1" t="s">
        <v>21</v>
      </c>
      <c r="H415" s="1">
        <v>1.725</v>
      </c>
      <c r="I415" s="1">
        <v>1.588</v>
      </c>
      <c r="J415" s="1">
        <v>21.0172007943708</v>
      </c>
      <c r="K415" t="str">
        <f t="shared" si="36"/>
        <v>缺口过小</v>
      </c>
      <c r="L415" s="2">
        <f t="shared" si="37"/>
        <v>1196.5</v>
      </c>
      <c r="M415" s="2">
        <f t="shared" si="38"/>
        <v>2063.9625</v>
      </c>
      <c r="N415" s="2">
        <f t="shared" si="39"/>
        <v>181.9625</v>
      </c>
      <c r="O415" s="2">
        <f t="shared" si="40"/>
        <v>291.5</v>
      </c>
      <c r="P415" s="2">
        <f t="shared" si="41"/>
        <v>583</v>
      </c>
    </row>
    <row r="416" spans="1:16">
      <c r="A416" s="1">
        <v>415</v>
      </c>
      <c r="B416" s="1">
        <v>29</v>
      </c>
      <c r="C416" s="1" t="s">
        <v>18</v>
      </c>
      <c r="D416" s="1">
        <v>155.8</v>
      </c>
      <c r="E416" s="1">
        <v>64.2</v>
      </c>
      <c r="F416" s="1">
        <v>2897</v>
      </c>
      <c r="G416" s="1" t="s">
        <v>17</v>
      </c>
      <c r="H416" s="1">
        <v>1.375</v>
      </c>
      <c r="I416" s="1">
        <v>1.558</v>
      </c>
      <c r="J416" s="1">
        <v>26.4484436615192</v>
      </c>
      <c r="K416" t="str">
        <f t="shared" si="36"/>
        <v>没有热量缺口</v>
      </c>
      <c r="L416" s="2">
        <f t="shared" si="37"/>
        <v>1309.75</v>
      </c>
      <c r="M416" s="2">
        <f t="shared" si="38"/>
        <v>1800.90625</v>
      </c>
      <c r="N416" s="2">
        <f t="shared" si="39"/>
        <v>-1096.09375</v>
      </c>
      <c r="O416" s="2">
        <f t="shared" si="40"/>
        <v>353.1</v>
      </c>
      <c r="P416" s="2">
        <f t="shared" si="41"/>
        <v>706.2</v>
      </c>
    </row>
    <row r="417" spans="1:16">
      <c r="A417" s="1">
        <v>416</v>
      </c>
      <c r="B417" s="1">
        <v>29</v>
      </c>
      <c r="C417" s="1" t="s">
        <v>18</v>
      </c>
      <c r="D417" s="1">
        <v>155.6</v>
      </c>
      <c r="E417" s="1">
        <v>148.8</v>
      </c>
      <c r="F417" s="1">
        <v>1449</v>
      </c>
      <c r="G417" s="1" t="s">
        <v>17</v>
      </c>
      <c r="H417" s="1">
        <v>1.375</v>
      </c>
      <c r="I417" s="1">
        <v>1.556</v>
      </c>
      <c r="J417" s="1">
        <v>61.4587532464099</v>
      </c>
      <c r="K417" t="str">
        <f t="shared" si="36"/>
        <v>缺口合适</v>
      </c>
      <c r="L417" s="2">
        <f t="shared" si="37"/>
        <v>2154.5</v>
      </c>
      <c r="M417" s="2">
        <f t="shared" si="38"/>
        <v>2962.4375</v>
      </c>
      <c r="N417" s="2">
        <f t="shared" si="39"/>
        <v>1513.4375</v>
      </c>
      <c r="O417" s="2">
        <f t="shared" si="40"/>
        <v>818.4</v>
      </c>
      <c r="P417" s="2">
        <f t="shared" si="41"/>
        <v>1636.8</v>
      </c>
    </row>
    <row r="418" spans="1:16">
      <c r="A418" s="1">
        <v>417</v>
      </c>
      <c r="B418" s="1">
        <v>28</v>
      </c>
      <c r="C418" s="1" t="s">
        <v>18</v>
      </c>
      <c r="D418" s="1">
        <v>169</v>
      </c>
      <c r="E418" s="1">
        <v>108</v>
      </c>
      <c r="F418" s="1">
        <v>2803</v>
      </c>
      <c r="G418" s="1" t="s">
        <v>21</v>
      </c>
      <c r="H418" s="1">
        <v>1.725</v>
      </c>
      <c r="I418" s="1">
        <v>1.69</v>
      </c>
      <c r="J418" s="1">
        <v>37.8138020377437</v>
      </c>
      <c r="K418" t="str">
        <f t="shared" si="36"/>
        <v>缺口过小</v>
      </c>
      <c r="L418" s="2">
        <f t="shared" si="37"/>
        <v>1835.25</v>
      </c>
      <c r="M418" s="2">
        <f t="shared" si="38"/>
        <v>3165.80625</v>
      </c>
      <c r="N418" s="2">
        <f t="shared" si="39"/>
        <v>362.80625</v>
      </c>
      <c r="O418" s="2">
        <f t="shared" si="40"/>
        <v>594</v>
      </c>
      <c r="P418" s="2">
        <f t="shared" si="41"/>
        <v>1188</v>
      </c>
    </row>
    <row r="419" spans="1:16">
      <c r="A419" s="1">
        <v>418</v>
      </c>
      <c r="B419" s="1">
        <v>33</v>
      </c>
      <c r="C419" s="1" t="s">
        <v>18</v>
      </c>
      <c r="D419" s="1">
        <v>154.8</v>
      </c>
      <c r="E419" s="1">
        <v>62.9</v>
      </c>
      <c r="F419" s="1">
        <v>1812</v>
      </c>
      <c r="G419" s="1" t="s">
        <v>20</v>
      </c>
      <c r="H419" s="1">
        <v>1.55</v>
      </c>
      <c r="I419" s="1">
        <v>1.548</v>
      </c>
      <c r="J419" s="1">
        <v>26.2487564182173</v>
      </c>
      <c r="K419" t="str">
        <f t="shared" si="36"/>
        <v>缺口过小</v>
      </c>
      <c r="L419" s="2">
        <f t="shared" si="37"/>
        <v>1270.5</v>
      </c>
      <c r="M419" s="2">
        <f t="shared" si="38"/>
        <v>1969.275</v>
      </c>
      <c r="N419" s="2">
        <f t="shared" si="39"/>
        <v>157.275</v>
      </c>
      <c r="O419" s="2">
        <f t="shared" si="40"/>
        <v>345.95</v>
      </c>
      <c r="P419" s="2">
        <f t="shared" si="41"/>
        <v>691.9</v>
      </c>
    </row>
    <row r="420" spans="1:16">
      <c r="A420" s="1">
        <v>419</v>
      </c>
      <c r="B420" s="1">
        <v>33</v>
      </c>
      <c r="C420" s="1" t="s">
        <v>18</v>
      </c>
      <c r="D420" s="1">
        <v>155.2</v>
      </c>
      <c r="E420" s="1">
        <v>63.4</v>
      </c>
      <c r="F420" s="1">
        <v>2754</v>
      </c>
      <c r="G420" s="1" t="s">
        <v>17</v>
      </c>
      <c r="H420" s="1">
        <v>1.375</v>
      </c>
      <c r="I420" s="1">
        <v>1.55199999999999</v>
      </c>
      <c r="J420" s="1">
        <v>26.3212084174726</v>
      </c>
      <c r="K420" t="str">
        <f t="shared" si="36"/>
        <v>没有热量缺口</v>
      </c>
      <c r="L420" s="2">
        <f t="shared" si="37"/>
        <v>1278</v>
      </c>
      <c r="M420" s="2">
        <f t="shared" si="38"/>
        <v>1757.25</v>
      </c>
      <c r="N420" s="2">
        <f t="shared" si="39"/>
        <v>-996.75</v>
      </c>
      <c r="O420" s="2">
        <f t="shared" si="40"/>
        <v>348.7</v>
      </c>
      <c r="P420" s="2">
        <f t="shared" si="41"/>
        <v>697.4</v>
      </c>
    </row>
    <row r="421" spans="1:16">
      <c r="A421" s="1">
        <v>420</v>
      </c>
      <c r="B421" s="1">
        <v>27</v>
      </c>
      <c r="C421" s="1" t="s">
        <v>18</v>
      </c>
      <c r="D421" s="1">
        <v>172.9</v>
      </c>
      <c r="E421" s="1">
        <v>62.1</v>
      </c>
      <c r="F421" s="1">
        <v>2277</v>
      </c>
      <c r="G421" s="1" t="s">
        <v>20</v>
      </c>
      <c r="H421" s="1">
        <v>1.55</v>
      </c>
      <c r="I421" s="1">
        <v>1.729</v>
      </c>
      <c r="J421" s="1">
        <v>20.7731144384518</v>
      </c>
      <c r="K421" t="str">
        <f t="shared" si="36"/>
        <v>没有热量缺口</v>
      </c>
      <c r="L421" s="2">
        <f t="shared" si="37"/>
        <v>1405.625</v>
      </c>
      <c r="M421" s="2">
        <f t="shared" si="38"/>
        <v>2178.71875</v>
      </c>
      <c r="N421" s="2">
        <f t="shared" si="39"/>
        <v>-98.28125</v>
      </c>
      <c r="O421" s="2">
        <f t="shared" si="40"/>
        <v>341.55</v>
      </c>
      <c r="P421" s="2">
        <f t="shared" si="41"/>
        <v>683.1</v>
      </c>
    </row>
    <row r="422" spans="1:16">
      <c r="A422" s="1">
        <v>421</v>
      </c>
      <c r="B422" s="1">
        <v>35</v>
      </c>
      <c r="C422" s="1" t="s">
        <v>18</v>
      </c>
      <c r="D422" s="1">
        <v>162.7</v>
      </c>
      <c r="E422" s="1">
        <v>76.2</v>
      </c>
      <c r="F422" s="1">
        <v>1311</v>
      </c>
      <c r="G422" s="1" t="s">
        <v>19</v>
      </c>
      <c r="H422" s="1">
        <v>1.2</v>
      </c>
      <c r="I422" s="1">
        <v>1.62699999999999</v>
      </c>
      <c r="J422" s="1">
        <v>28.78590352038</v>
      </c>
      <c r="K422" t="str">
        <f t="shared" si="36"/>
        <v>缺口合适</v>
      </c>
      <c r="L422" s="2">
        <f t="shared" si="37"/>
        <v>1442.875</v>
      </c>
      <c r="M422" s="2">
        <f t="shared" si="38"/>
        <v>1731.45</v>
      </c>
      <c r="N422" s="2">
        <f t="shared" si="39"/>
        <v>420.45</v>
      </c>
      <c r="O422" s="2">
        <f t="shared" si="40"/>
        <v>419.1</v>
      </c>
      <c r="P422" s="2">
        <f t="shared" si="41"/>
        <v>838.2</v>
      </c>
    </row>
    <row r="423" spans="1:16">
      <c r="A423" s="1">
        <v>422</v>
      </c>
      <c r="B423" s="1">
        <v>34</v>
      </c>
      <c r="C423" s="1" t="s">
        <v>18</v>
      </c>
      <c r="D423" s="1">
        <v>160.1</v>
      </c>
      <c r="E423" s="1">
        <v>82.1</v>
      </c>
      <c r="F423" s="1">
        <v>1710</v>
      </c>
      <c r="G423" s="1" t="s">
        <v>21</v>
      </c>
      <c r="H423" s="1">
        <v>1.725</v>
      </c>
      <c r="I423" s="1">
        <v>1.601</v>
      </c>
      <c r="J423" s="1">
        <v>32.0302621604782</v>
      </c>
      <c r="K423" t="str">
        <f t="shared" si="36"/>
        <v>缺口合适</v>
      </c>
      <c r="L423" s="2">
        <f t="shared" si="37"/>
        <v>1490.625</v>
      </c>
      <c r="M423" s="2">
        <f t="shared" si="38"/>
        <v>2571.328125</v>
      </c>
      <c r="N423" s="2">
        <f t="shared" si="39"/>
        <v>861.328125</v>
      </c>
      <c r="O423" s="2">
        <f t="shared" si="40"/>
        <v>451.55</v>
      </c>
      <c r="P423" s="2">
        <f t="shared" si="41"/>
        <v>903.1</v>
      </c>
    </row>
    <row r="424" spans="1:16">
      <c r="A424" s="1">
        <v>423</v>
      </c>
      <c r="B424" s="1">
        <v>31</v>
      </c>
      <c r="C424" s="1" t="s">
        <v>16</v>
      </c>
      <c r="D424" s="1">
        <v>171.2</v>
      </c>
      <c r="E424" s="1">
        <v>136</v>
      </c>
      <c r="F424" s="1">
        <v>2869</v>
      </c>
      <c r="G424" s="1" t="s">
        <v>21</v>
      </c>
      <c r="H424" s="1">
        <v>1.725</v>
      </c>
      <c r="I424" s="1">
        <v>1.712</v>
      </c>
      <c r="J424" s="1">
        <v>46.4014324395143</v>
      </c>
      <c r="K424" t="str">
        <f t="shared" si="36"/>
        <v>缺口合适</v>
      </c>
      <c r="L424" s="2">
        <f t="shared" si="37"/>
        <v>2280</v>
      </c>
      <c r="M424" s="2">
        <f t="shared" si="38"/>
        <v>3933</v>
      </c>
      <c r="N424" s="2">
        <f t="shared" si="39"/>
        <v>1064</v>
      </c>
      <c r="O424" s="2">
        <f t="shared" si="40"/>
        <v>748</v>
      </c>
      <c r="P424" s="2">
        <f t="shared" si="41"/>
        <v>1496</v>
      </c>
    </row>
    <row r="425" spans="1:16">
      <c r="A425" s="1">
        <v>424</v>
      </c>
      <c r="B425" s="1">
        <v>33</v>
      </c>
      <c r="C425" s="1" t="s">
        <v>18</v>
      </c>
      <c r="D425" s="1">
        <v>169.2</v>
      </c>
      <c r="E425" s="1">
        <v>61.8</v>
      </c>
      <c r="F425" s="1">
        <v>1065</v>
      </c>
      <c r="G425" s="1" t="s">
        <v>19</v>
      </c>
      <c r="H425" s="1">
        <v>1.2</v>
      </c>
      <c r="I425" s="1">
        <v>1.692</v>
      </c>
      <c r="J425" s="1">
        <v>21.5867746424559</v>
      </c>
      <c r="K425" t="str">
        <f t="shared" si="36"/>
        <v>缺口合适</v>
      </c>
      <c r="L425" s="2">
        <f t="shared" si="37"/>
        <v>1349.5</v>
      </c>
      <c r="M425" s="2">
        <f t="shared" si="38"/>
        <v>1619.4</v>
      </c>
      <c r="N425" s="2">
        <f t="shared" si="39"/>
        <v>554.4</v>
      </c>
      <c r="O425" s="2">
        <f t="shared" si="40"/>
        <v>339.9</v>
      </c>
      <c r="P425" s="2">
        <f t="shared" si="41"/>
        <v>679.8</v>
      </c>
    </row>
    <row r="426" spans="1:16">
      <c r="A426" s="1">
        <v>425</v>
      </c>
      <c r="B426" s="1">
        <v>35</v>
      </c>
      <c r="C426" s="1" t="s">
        <v>16</v>
      </c>
      <c r="D426" s="1">
        <v>167.3</v>
      </c>
      <c r="E426" s="1">
        <v>71.9</v>
      </c>
      <c r="F426" s="1">
        <v>3454</v>
      </c>
      <c r="G426" s="1" t="s">
        <v>21</v>
      </c>
      <c r="H426" s="1">
        <v>1.725</v>
      </c>
      <c r="I426" s="1">
        <v>1.673</v>
      </c>
      <c r="J426" s="1">
        <v>25.6883972405159</v>
      </c>
      <c r="K426" t="str">
        <f t="shared" si="36"/>
        <v>没有热量缺口</v>
      </c>
      <c r="L426" s="2">
        <f t="shared" si="37"/>
        <v>1594.625</v>
      </c>
      <c r="M426" s="2">
        <f t="shared" si="38"/>
        <v>2750.728125</v>
      </c>
      <c r="N426" s="2">
        <f t="shared" si="39"/>
        <v>-703.271875</v>
      </c>
      <c r="O426" s="2">
        <f t="shared" si="40"/>
        <v>395.45</v>
      </c>
      <c r="P426" s="2">
        <f t="shared" si="41"/>
        <v>790.9</v>
      </c>
    </row>
    <row r="427" spans="1:16">
      <c r="A427" s="1">
        <v>426</v>
      </c>
      <c r="B427" s="1">
        <v>29</v>
      </c>
      <c r="C427" s="1" t="s">
        <v>18</v>
      </c>
      <c r="D427" s="1">
        <v>176.2</v>
      </c>
      <c r="E427" s="1">
        <v>97.8</v>
      </c>
      <c r="F427" s="1">
        <v>2010</v>
      </c>
      <c r="G427" s="1" t="s">
        <v>17</v>
      </c>
      <c r="H427" s="1">
        <v>1.375</v>
      </c>
      <c r="I427" s="1">
        <v>1.76199999999999</v>
      </c>
      <c r="J427" s="1">
        <v>31.5011962724228</v>
      </c>
      <c r="K427" t="str">
        <f t="shared" si="36"/>
        <v>缺口过小</v>
      </c>
      <c r="L427" s="2">
        <f t="shared" si="37"/>
        <v>1773.25</v>
      </c>
      <c r="M427" s="2">
        <f t="shared" si="38"/>
        <v>2438.21875</v>
      </c>
      <c r="N427" s="2">
        <f t="shared" si="39"/>
        <v>428.21875</v>
      </c>
      <c r="O427" s="2">
        <f t="shared" si="40"/>
        <v>537.9</v>
      </c>
      <c r="P427" s="2">
        <f t="shared" si="41"/>
        <v>1075.8</v>
      </c>
    </row>
    <row r="428" spans="1:16">
      <c r="A428" s="1">
        <v>427</v>
      </c>
      <c r="B428" s="1">
        <v>30</v>
      </c>
      <c r="C428" s="1" t="s">
        <v>18</v>
      </c>
      <c r="D428" s="1">
        <v>154.9</v>
      </c>
      <c r="E428" s="1">
        <v>74.9</v>
      </c>
      <c r="F428" s="1">
        <v>895</v>
      </c>
      <c r="G428" s="1" t="s">
        <v>17</v>
      </c>
      <c r="H428" s="1">
        <v>1.375</v>
      </c>
      <c r="I428" s="1">
        <v>1.549</v>
      </c>
      <c r="J428" s="1">
        <v>31.2161243577042</v>
      </c>
      <c r="K428" t="str">
        <f t="shared" si="36"/>
        <v>缺口过大</v>
      </c>
      <c r="L428" s="2">
        <f t="shared" si="37"/>
        <v>1406.125</v>
      </c>
      <c r="M428" s="2">
        <f t="shared" si="38"/>
        <v>1933.421875</v>
      </c>
      <c r="N428" s="2">
        <f t="shared" si="39"/>
        <v>1038.421875</v>
      </c>
      <c r="O428" s="2">
        <f t="shared" si="40"/>
        <v>411.95</v>
      </c>
      <c r="P428" s="2">
        <f t="shared" si="41"/>
        <v>823.9</v>
      </c>
    </row>
    <row r="429" spans="1:16">
      <c r="A429" s="1">
        <v>428</v>
      </c>
      <c r="B429" s="1">
        <v>26</v>
      </c>
      <c r="C429" s="1" t="s">
        <v>18</v>
      </c>
      <c r="D429" s="1">
        <v>163.3</v>
      </c>
      <c r="E429" s="1">
        <v>50.5</v>
      </c>
      <c r="F429" s="1">
        <v>1990</v>
      </c>
      <c r="G429" s="1" t="s">
        <v>21</v>
      </c>
      <c r="H429" s="1">
        <v>1.725</v>
      </c>
      <c r="I429" s="1">
        <v>1.633</v>
      </c>
      <c r="J429" s="1">
        <v>18.9373413997657</v>
      </c>
      <c r="K429" t="str">
        <f t="shared" si="36"/>
        <v>缺口过小</v>
      </c>
      <c r="L429" s="2">
        <f t="shared" si="37"/>
        <v>1234.625</v>
      </c>
      <c r="M429" s="2">
        <f t="shared" si="38"/>
        <v>2129.728125</v>
      </c>
      <c r="N429" s="2">
        <f t="shared" si="39"/>
        <v>139.728125</v>
      </c>
      <c r="O429" s="2">
        <f t="shared" si="40"/>
        <v>277.75</v>
      </c>
      <c r="P429" s="2">
        <f t="shared" si="41"/>
        <v>555.5</v>
      </c>
    </row>
    <row r="430" spans="1:16">
      <c r="A430" s="1">
        <v>429</v>
      </c>
      <c r="B430" s="1">
        <v>25</v>
      </c>
      <c r="C430" s="1" t="s">
        <v>16</v>
      </c>
      <c r="D430" s="1">
        <v>182.8</v>
      </c>
      <c r="E430" s="1">
        <v>92.2</v>
      </c>
      <c r="F430" s="1">
        <v>3530</v>
      </c>
      <c r="G430" s="1" t="s">
        <v>20</v>
      </c>
      <c r="H430" s="1">
        <v>1.55</v>
      </c>
      <c r="I430" s="1">
        <v>1.828</v>
      </c>
      <c r="J430" s="1">
        <v>27.5917050117549</v>
      </c>
      <c r="K430" t="str">
        <f t="shared" si="36"/>
        <v>没有热量缺口</v>
      </c>
      <c r="L430" s="2">
        <f t="shared" si="37"/>
        <v>1944.5</v>
      </c>
      <c r="M430" s="2">
        <f t="shared" si="38"/>
        <v>3013.975</v>
      </c>
      <c r="N430" s="2">
        <f t="shared" si="39"/>
        <v>-516.025</v>
      </c>
      <c r="O430" s="2">
        <f t="shared" si="40"/>
        <v>507.1</v>
      </c>
      <c r="P430" s="2">
        <f t="shared" si="41"/>
        <v>1014.2</v>
      </c>
    </row>
    <row r="431" spans="1:16">
      <c r="A431" s="1">
        <v>430</v>
      </c>
      <c r="B431" s="1">
        <v>26</v>
      </c>
      <c r="C431" s="1" t="s">
        <v>16</v>
      </c>
      <c r="D431" s="1">
        <v>159.8</v>
      </c>
      <c r="E431" s="1">
        <v>89</v>
      </c>
      <c r="F431" s="1">
        <v>3727</v>
      </c>
      <c r="G431" s="1" t="s">
        <v>21</v>
      </c>
      <c r="H431" s="1">
        <v>1.725</v>
      </c>
      <c r="I431" s="1">
        <v>1.598</v>
      </c>
      <c r="J431" s="1">
        <v>34.8527022983986</v>
      </c>
      <c r="K431" t="str">
        <f t="shared" si="36"/>
        <v>没有热量缺口</v>
      </c>
      <c r="L431" s="2">
        <f t="shared" si="37"/>
        <v>1763.75</v>
      </c>
      <c r="M431" s="2">
        <f t="shared" si="38"/>
        <v>3042.46875</v>
      </c>
      <c r="N431" s="2">
        <f t="shared" si="39"/>
        <v>-684.53125</v>
      </c>
      <c r="O431" s="2">
        <f t="shared" si="40"/>
        <v>489.5</v>
      </c>
      <c r="P431" s="2">
        <f t="shared" si="41"/>
        <v>979</v>
      </c>
    </row>
    <row r="432" spans="1:16">
      <c r="A432" s="1">
        <v>431</v>
      </c>
      <c r="B432" s="1">
        <v>28</v>
      </c>
      <c r="C432" s="1" t="s">
        <v>18</v>
      </c>
      <c r="D432" s="1">
        <v>161.3</v>
      </c>
      <c r="E432" s="1">
        <v>99.3</v>
      </c>
      <c r="F432" s="1">
        <v>1608</v>
      </c>
      <c r="G432" s="1" t="s">
        <v>17</v>
      </c>
      <c r="H432" s="1">
        <v>1.375</v>
      </c>
      <c r="I432" s="1">
        <v>1.613</v>
      </c>
      <c r="J432" s="1">
        <v>38.1663399018129</v>
      </c>
      <c r="K432" t="str">
        <f t="shared" si="36"/>
        <v>缺口合适</v>
      </c>
      <c r="L432" s="2">
        <f t="shared" si="37"/>
        <v>1700.125</v>
      </c>
      <c r="M432" s="2">
        <f t="shared" si="38"/>
        <v>2337.671875</v>
      </c>
      <c r="N432" s="2">
        <f t="shared" si="39"/>
        <v>729.671875</v>
      </c>
      <c r="O432" s="2">
        <f t="shared" si="40"/>
        <v>546.15</v>
      </c>
      <c r="P432" s="2">
        <f t="shared" si="41"/>
        <v>1092.3</v>
      </c>
    </row>
    <row r="433" spans="1:16">
      <c r="A433" s="1">
        <v>432</v>
      </c>
      <c r="B433" s="1">
        <v>32</v>
      </c>
      <c r="C433" s="1" t="s">
        <v>18</v>
      </c>
      <c r="D433" s="1">
        <v>161</v>
      </c>
      <c r="E433" s="1">
        <v>160.5</v>
      </c>
      <c r="F433" s="1">
        <v>3475</v>
      </c>
      <c r="G433" s="1" t="s">
        <v>19</v>
      </c>
      <c r="H433" s="1">
        <v>1.2</v>
      </c>
      <c r="I433" s="1">
        <v>1.61</v>
      </c>
      <c r="J433" s="1">
        <v>61.9189074495582</v>
      </c>
      <c r="K433" t="str">
        <f t="shared" si="36"/>
        <v>没有热量缺口</v>
      </c>
      <c r="L433" s="2">
        <f t="shared" si="37"/>
        <v>2290.25</v>
      </c>
      <c r="M433" s="2">
        <f t="shared" si="38"/>
        <v>2748.3</v>
      </c>
      <c r="N433" s="2">
        <f t="shared" si="39"/>
        <v>-726.7</v>
      </c>
      <c r="O433" s="2">
        <f t="shared" si="40"/>
        <v>882.75</v>
      </c>
      <c r="P433" s="2">
        <f t="shared" si="41"/>
        <v>1765.5</v>
      </c>
    </row>
    <row r="434" spans="1:16">
      <c r="A434" s="1">
        <v>433</v>
      </c>
      <c r="B434" s="1">
        <v>21</v>
      </c>
      <c r="C434" s="1" t="s">
        <v>16</v>
      </c>
      <c r="D434" s="1">
        <v>188.1</v>
      </c>
      <c r="E434" s="1">
        <v>81.2</v>
      </c>
      <c r="F434" s="1">
        <v>2838</v>
      </c>
      <c r="G434" s="1" t="s">
        <v>21</v>
      </c>
      <c r="H434" s="1">
        <v>1.725</v>
      </c>
      <c r="I434" s="1">
        <v>1.881</v>
      </c>
      <c r="J434" s="1">
        <v>22.9497753211343</v>
      </c>
      <c r="K434" t="str">
        <f t="shared" si="36"/>
        <v>缺口过小</v>
      </c>
      <c r="L434" s="2">
        <f t="shared" si="37"/>
        <v>1887.625</v>
      </c>
      <c r="M434" s="2">
        <f t="shared" si="38"/>
        <v>3256.153125</v>
      </c>
      <c r="N434" s="2">
        <f t="shared" si="39"/>
        <v>418.153125</v>
      </c>
      <c r="O434" s="2">
        <f t="shared" si="40"/>
        <v>446.6</v>
      </c>
      <c r="P434" s="2">
        <f t="shared" si="41"/>
        <v>893.2</v>
      </c>
    </row>
    <row r="435" spans="1:16">
      <c r="A435" s="1">
        <v>434</v>
      </c>
      <c r="B435" s="1">
        <v>31</v>
      </c>
      <c r="C435" s="1" t="s">
        <v>16</v>
      </c>
      <c r="D435" s="1">
        <v>196.6</v>
      </c>
      <c r="E435" s="1">
        <v>115.4</v>
      </c>
      <c r="F435" s="1">
        <v>2965</v>
      </c>
      <c r="G435" s="1" t="s">
        <v>21</v>
      </c>
      <c r="H435" s="1">
        <v>1.725</v>
      </c>
      <c r="I435" s="1">
        <v>1.966</v>
      </c>
      <c r="J435" s="1">
        <v>29.8564922088526</v>
      </c>
      <c r="K435" t="str">
        <f t="shared" si="36"/>
        <v>缺口合适</v>
      </c>
      <c r="L435" s="2">
        <f t="shared" si="37"/>
        <v>2232.75</v>
      </c>
      <c r="M435" s="2">
        <f t="shared" si="38"/>
        <v>3851.49375</v>
      </c>
      <c r="N435" s="2">
        <f t="shared" si="39"/>
        <v>886.49375</v>
      </c>
      <c r="O435" s="2">
        <f t="shared" si="40"/>
        <v>634.7</v>
      </c>
      <c r="P435" s="2">
        <f t="shared" si="41"/>
        <v>1269.4</v>
      </c>
    </row>
    <row r="436" spans="1:16">
      <c r="A436" s="1">
        <v>435</v>
      </c>
      <c r="B436" s="1">
        <v>24</v>
      </c>
      <c r="C436" s="1" t="s">
        <v>18</v>
      </c>
      <c r="D436" s="1">
        <v>158.1</v>
      </c>
      <c r="E436" s="1">
        <v>63</v>
      </c>
      <c r="F436" s="1">
        <v>3682</v>
      </c>
      <c r="G436" s="1" t="s">
        <v>17</v>
      </c>
      <c r="H436" s="1">
        <v>1.375</v>
      </c>
      <c r="I436" s="1">
        <v>1.581</v>
      </c>
      <c r="J436" s="1">
        <v>25.2044258971875</v>
      </c>
      <c r="K436" t="str">
        <f t="shared" si="36"/>
        <v>没有热量缺口</v>
      </c>
      <c r="L436" s="2">
        <f t="shared" si="37"/>
        <v>1337.125</v>
      </c>
      <c r="M436" s="2">
        <f t="shared" si="38"/>
        <v>1838.546875</v>
      </c>
      <c r="N436" s="2">
        <f t="shared" si="39"/>
        <v>-1843.453125</v>
      </c>
      <c r="O436" s="2">
        <f t="shared" si="40"/>
        <v>346.5</v>
      </c>
      <c r="P436" s="2">
        <f t="shared" si="41"/>
        <v>693</v>
      </c>
    </row>
    <row r="437" spans="1:16">
      <c r="A437" s="1">
        <v>436</v>
      </c>
      <c r="B437" s="1">
        <v>20</v>
      </c>
      <c r="C437" s="1" t="s">
        <v>16</v>
      </c>
      <c r="D437" s="1">
        <v>160.6</v>
      </c>
      <c r="E437" s="1">
        <v>79.5</v>
      </c>
      <c r="F437" s="1">
        <v>953</v>
      </c>
      <c r="G437" s="1" t="s">
        <v>19</v>
      </c>
      <c r="H437" s="1">
        <v>1.2</v>
      </c>
      <c r="I437" s="1">
        <v>1.60599999999999</v>
      </c>
      <c r="J437" s="1">
        <v>30.8230809433491</v>
      </c>
      <c r="K437" t="str">
        <f t="shared" si="36"/>
        <v>缺口过大</v>
      </c>
      <c r="L437" s="2">
        <f t="shared" si="37"/>
        <v>1703.75</v>
      </c>
      <c r="M437" s="2">
        <f t="shared" si="38"/>
        <v>2044.5</v>
      </c>
      <c r="N437" s="2">
        <f t="shared" si="39"/>
        <v>1091.5</v>
      </c>
      <c r="O437" s="2">
        <f t="shared" si="40"/>
        <v>437.25</v>
      </c>
      <c r="P437" s="2">
        <f t="shared" si="41"/>
        <v>874.5</v>
      </c>
    </row>
    <row r="438" spans="1:16">
      <c r="A438" s="1">
        <v>437</v>
      </c>
      <c r="B438" s="1">
        <v>25</v>
      </c>
      <c r="C438" s="1" t="s">
        <v>16</v>
      </c>
      <c r="D438" s="1">
        <v>172.2</v>
      </c>
      <c r="E438" s="1">
        <v>112.9</v>
      </c>
      <c r="F438" s="1">
        <v>3500</v>
      </c>
      <c r="G438" s="1" t="s">
        <v>17</v>
      </c>
      <c r="H438" s="1">
        <v>1.375</v>
      </c>
      <c r="I438" s="1">
        <v>1.722</v>
      </c>
      <c r="J438" s="1">
        <v>38.0739247910149</v>
      </c>
      <c r="K438" t="str">
        <f t="shared" si="36"/>
        <v>没有热量缺口</v>
      </c>
      <c r="L438" s="2">
        <f t="shared" si="37"/>
        <v>2085.25</v>
      </c>
      <c r="M438" s="2">
        <f t="shared" si="38"/>
        <v>2867.21875</v>
      </c>
      <c r="N438" s="2">
        <f t="shared" si="39"/>
        <v>-632.78125</v>
      </c>
      <c r="O438" s="2">
        <f t="shared" si="40"/>
        <v>620.95</v>
      </c>
      <c r="P438" s="2">
        <f t="shared" si="41"/>
        <v>1241.9</v>
      </c>
    </row>
    <row r="439" spans="1:16">
      <c r="A439" s="1">
        <v>438</v>
      </c>
      <c r="B439" s="1">
        <v>35</v>
      </c>
      <c r="C439" s="1" t="s">
        <v>16</v>
      </c>
      <c r="D439" s="1">
        <v>176.7</v>
      </c>
      <c r="E439" s="1">
        <v>98</v>
      </c>
      <c r="F439" s="1">
        <v>3073</v>
      </c>
      <c r="G439" s="1" t="s">
        <v>17</v>
      </c>
      <c r="H439" s="1">
        <v>1.375</v>
      </c>
      <c r="I439" s="1">
        <v>1.767</v>
      </c>
      <c r="J439" s="1">
        <v>31.3872290489445</v>
      </c>
      <c r="K439" t="str">
        <f t="shared" si="36"/>
        <v>没有热量缺口</v>
      </c>
      <c r="L439" s="2">
        <f t="shared" si="37"/>
        <v>1914.375</v>
      </c>
      <c r="M439" s="2">
        <f t="shared" si="38"/>
        <v>2632.265625</v>
      </c>
      <c r="N439" s="2">
        <f t="shared" si="39"/>
        <v>-440.734375</v>
      </c>
      <c r="O439" s="2">
        <f t="shared" si="40"/>
        <v>539</v>
      </c>
      <c r="P439" s="2">
        <f t="shared" si="41"/>
        <v>1078</v>
      </c>
    </row>
    <row r="440" spans="1:16">
      <c r="A440" s="1">
        <v>439</v>
      </c>
      <c r="B440" s="1">
        <v>32</v>
      </c>
      <c r="C440" s="1" t="s">
        <v>16</v>
      </c>
      <c r="D440" s="1">
        <v>179.3</v>
      </c>
      <c r="E440" s="1">
        <v>121</v>
      </c>
      <c r="F440" s="1">
        <v>2622</v>
      </c>
      <c r="G440" s="1" t="s">
        <v>17</v>
      </c>
      <c r="H440" s="1">
        <v>1.375</v>
      </c>
      <c r="I440" s="1">
        <v>1.793</v>
      </c>
      <c r="J440" s="1">
        <v>37.6378486205728</v>
      </c>
      <c r="K440" t="str">
        <f t="shared" si="36"/>
        <v>缺口过小</v>
      </c>
      <c r="L440" s="2">
        <f t="shared" si="37"/>
        <v>2175.625</v>
      </c>
      <c r="M440" s="2">
        <f t="shared" si="38"/>
        <v>2991.484375</v>
      </c>
      <c r="N440" s="2">
        <f t="shared" si="39"/>
        <v>369.484375</v>
      </c>
      <c r="O440" s="2">
        <f t="shared" si="40"/>
        <v>665.5</v>
      </c>
      <c r="P440" s="2">
        <f t="shared" si="41"/>
        <v>1331</v>
      </c>
    </row>
    <row r="441" spans="1:16">
      <c r="A441" s="1">
        <v>440</v>
      </c>
      <c r="B441" s="1">
        <v>30</v>
      </c>
      <c r="C441" s="1" t="s">
        <v>16</v>
      </c>
      <c r="D441" s="1">
        <v>186.7</v>
      </c>
      <c r="E441" s="1">
        <v>83.6</v>
      </c>
      <c r="F441" s="1">
        <v>3658</v>
      </c>
      <c r="G441" s="1" t="s">
        <v>21</v>
      </c>
      <c r="H441" s="1">
        <v>1.725</v>
      </c>
      <c r="I441" s="1">
        <v>1.867</v>
      </c>
      <c r="J441" s="1">
        <v>23.9837805380801</v>
      </c>
      <c r="K441" t="str">
        <f t="shared" si="36"/>
        <v>没有热量缺口</v>
      </c>
      <c r="L441" s="2">
        <f t="shared" si="37"/>
        <v>1857.875</v>
      </c>
      <c r="M441" s="2">
        <f t="shared" si="38"/>
        <v>3204.834375</v>
      </c>
      <c r="N441" s="2">
        <f t="shared" si="39"/>
        <v>-453.165625</v>
      </c>
      <c r="O441" s="2">
        <f t="shared" si="40"/>
        <v>459.8</v>
      </c>
      <c r="P441" s="2">
        <f t="shared" si="41"/>
        <v>919.6</v>
      </c>
    </row>
    <row r="442" spans="1:16">
      <c r="A442" s="1">
        <v>441</v>
      </c>
      <c r="B442" s="1">
        <v>30</v>
      </c>
      <c r="C442" s="1" t="s">
        <v>18</v>
      </c>
      <c r="D442" s="1">
        <v>167.2</v>
      </c>
      <c r="E442" s="1">
        <v>125.8</v>
      </c>
      <c r="F442" s="1">
        <v>1023</v>
      </c>
      <c r="G442" s="1" t="s">
        <v>20</v>
      </c>
      <c r="H442" s="1">
        <v>1.55</v>
      </c>
      <c r="I442" s="1">
        <v>1.672</v>
      </c>
      <c r="J442" s="1">
        <v>44.9995421350243</v>
      </c>
      <c r="K442" t="str">
        <f t="shared" si="36"/>
        <v>缺口过大</v>
      </c>
      <c r="L442" s="2">
        <f t="shared" si="37"/>
        <v>1992</v>
      </c>
      <c r="M442" s="2">
        <f t="shared" si="38"/>
        <v>3087.6</v>
      </c>
      <c r="N442" s="2">
        <f t="shared" si="39"/>
        <v>2064.6</v>
      </c>
      <c r="O442" s="2">
        <f t="shared" si="40"/>
        <v>691.9</v>
      </c>
      <c r="P442" s="2">
        <f t="shared" si="41"/>
        <v>1383.8</v>
      </c>
    </row>
    <row r="443" spans="1:16">
      <c r="A443" s="1">
        <v>442</v>
      </c>
      <c r="B443" s="1">
        <v>32</v>
      </c>
      <c r="C443" s="1" t="s">
        <v>16</v>
      </c>
      <c r="D443" s="1">
        <v>174.9</v>
      </c>
      <c r="E443" s="1">
        <v>83.3</v>
      </c>
      <c r="F443" s="1">
        <v>2847</v>
      </c>
      <c r="G443" s="1" t="s">
        <v>21</v>
      </c>
      <c r="H443" s="1">
        <v>1.725</v>
      </c>
      <c r="I443" s="1">
        <v>1.749</v>
      </c>
      <c r="J443" s="1">
        <v>27.231112379499</v>
      </c>
      <c r="K443" t="str">
        <f t="shared" si="36"/>
        <v>缺口过小</v>
      </c>
      <c r="L443" s="2">
        <f t="shared" si="37"/>
        <v>1771.125</v>
      </c>
      <c r="M443" s="2">
        <f t="shared" si="38"/>
        <v>3055.190625</v>
      </c>
      <c r="N443" s="2">
        <f t="shared" si="39"/>
        <v>208.190625</v>
      </c>
      <c r="O443" s="2">
        <f t="shared" si="40"/>
        <v>458.15</v>
      </c>
      <c r="P443" s="2">
        <f t="shared" si="41"/>
        <v>916.3</v>
      </c>
    </row>
    <row r="444" spans="1:16">
      <c r="A444" s="1">
        <v>443</v>
      </c>
      <c r="B444" s="1">
        <v>30</v>
      </c>
      <c r="C444" s="1" t="s">
        <v>18</v>
      </c>
      <c r="D444" s="1">
        <v>162.7</v>
      </c>
      <c r="E444" s="1">
        <v>108.5</v>
      </c>
      <c r="F444" s="1">
        <v>2816</v>
      </c>
      <c r="G444" s="1" t="s">
        <v>17</v>
      </c>
      <c r="H444" s="1">
        <v>1.375</v>
      </c>
      <c r="I444" s="1">
        <v>1.62699999999999</v>
      </c>
      <c r="J444" s="1">
        <v>40.987802256709</v>
      </c>
      <c r="K444" t="str">
        <f t="shared" si="36"/>
        <v>没有热量缺口</v>
      </c>
      <c r="L444" s="2">
        <f t="shared" si="37"/>
        <v>1790.875</v>
      </c>
      <c r="M444" s="2">
        <f t="shared" si="38"/>
        <v>2462.453125</v>
      </c>
      <c r="N444" s="2">
        <f t="shared" si="39"/>
        <v>-353.546875</v>
      </c>
      <c r="O444" s="2">
        <f t="shared" si="40"/>
        <v>596.75</v>
      </c>
      <c r="P444" s="2">
        <f t="shared" si="41"/>
        <v>1193.5</v>
      </c>
    </row>
    <row r="445" spans="1:16">
      <c r="A445" s="1">
        <v>444</v>
      </c>
      <c r="B445" s="1">
        <v>27</v>
      </c>
      <c r="C445" s="1" t="s">
        <v>18</v>
      </c>
      <c r="D445" s="1">
        <v>156.4</v>
      </c>
      <c r="E445" s="1">
        <v>47.5</v>
      </c>
      <c r="F445" s="1">
        <v>1763</v>
      </c>
      <c r="G445" s="1" t="s">
        <v>17</v>
      </c>
      <c r="H445" s="1">
        <v>1.375</v>
      </c>
      <c r="I445" s="1">
        <v>1.564</v>
      </c>
      <c r="J445" s="1">
        <v>19.4186982031776</v>
      </c>
      <c r="K445" t="str">
        <f t="shared" si="36"/>
        <v>没有热量缺口</v>
      </c>
      <c r="L445" s="2">
        <f t="shared" si="37"/>
        <v>1156.5</v>
      </c>
      <c r="M445" s="2">
        <f t="shared" si="38"/>
        <v>1590.1875</v>
      </c>
      <c r="N445" s="2">
        <f t="shared" si="39"/>
        <v>-172.8125</v>
      </c>
      <c r="O445" s="2">
        <f t="shared" si="40"/>
        <v>261.25</v>
      </c>
      <c r="P445" s="2">
        <f t="shared" si="41"/>
        <v>522.5</v>
      </c>
    </row>
    <row r="446" spans="1:16">
      <c r="A446" s="1">
        <v>445</v>
      </c>
      <c r="B446" s="1">
        <v>35</v>
      </c>
      <c r="C446" s="1" t="s">
        <v>18</v>
      </c>
      <c r="D446" s="1">
        <v>152.2</v>
      </c>
      <c r="E446" s="1">
        <v>87.5</v>
      </c>
      <c r="F446" s="1">
        <v>2835</v>
      </c>
      <c r="G446" s="1" t="s">
        <v>19</v>
      </c>
      <c r="H446" s="1">
        <v>1.2</v>
      </c>
      <c r="I446" s="1">
        <v>1.52199999999999</v>
      </c>
      <c r="J446" s="1">
        <v>37.7727625142241</v>
      </c>
      <c r="K446" t="str">
        <f t="shared" si="36"/>
        <v>没有热量缺口</v>
      </c>
      <c r="L446" s="2">
        <f t="shared" si="37"/>
        <v>1490.25</v>
      </c>
      <c r="M446" s="2">
        <f t="shared" si="38"/>
        <v>1788.3</v>
      </c>
      <c r="N446" s="2">
        <f t="shared" si="39"/>
        <v>-1046.7</v>
      </c>
      <c r="O446" s="2">
        <f t="shared" si="40"/>
        <v>481.25</v>
      </c>
      <c r="P446" s="2">
        <f t="shared" si="41"/>
        <v>962.5</v>
      </c>
    </row>
    <row r="447" spans="1:16">
      <c r="A447" s="1">
        <v>446</v>
      </c>
      <c r="B447" s="1">
        <v>23</v>
      </c>
      <c r="C447" s="1" t="s">
        <v>18</v>
      </c>
      <c r="D447" s="1">
        <v>169</v>
      </c>
      <c r="E447" s="1">
        <v>70.3</v>
      </c>
      <c r="F447" s="1">
        <v>1884</v>
      </c>
      <c r="G447" s="1" t="s">
        <v>17</v>
      </c>
      <c r="H447" s="1">
        <v>1.375</v>
      </c>
      <c r="I447" s="1">
        <v>1.69</v>
      </c>
      <c r="J447" s="1">
        <v>24.613984104198</v>
      </c>
      <c r="K447" t="str">
        <f t="shared" si="36"/>
        <v>缺口过小</v>
      </c>
      <c r="L447" s="2">
        <f t="shared" si="37"/>
        <v>1483.25</v>
      </c>
      <c r="M447" s="2">
        <f t="shared" si="38"/>
        <v>2039.46875</v>
      </c>
      <c r="N447" s="2">
        <f t="shared" si="39"/>
        <v>155.46875</v>
      </c>
      <c r="O447" s="2">
        <f t="shared" si="40"/>
        <v>386.65</v>
      </c>
      <c r="P447" s="2">
        <f t="shared" si="41"/>
        <v>773.3</v>
      </c>
    </row>
    <row r="448" spans="1:16">
      <c r="A448" s="1">
        <v>447</v>
      </c>
      <c r="B448" s="1">
        <v>32</v>
      </c>
      <c r="C448" s="1" t="s">
        <v>18</v>
      </c>
      <c r="D448" s="1">
        <v>155.5</v>
      </c>
      <c r="E448" s="1">
        <v>64.4</v>
      </c>
      <c r="F448" s="1">
        <v>1991</v>
      </c>
      <c r="G448" s="1" t="s">
        <v>17</v>
      </c>
      <c r="H448" s="1">
        <v>1.375</v>
      </c>
      <c r="I448" s="1">
        <v>1.555</v>
      </c>
      <c r="J448" s="1">
        <v>26.6333061072569</v>
      </c>
      <c r="K448" t="str">
        <f t="shared" si="36"/>
        <v>没有热量缺口</v>
      </c>
      <c r="L448" s="2">
        <f t="shared" si="37"/>
        <v>1294.875</v>
      </c>
      <c r="M448" s="2">
        <f t="shared" si="38"/>
        <v>1780.453125</v>
      </c>
      <c r="N448" s="2">
        <f t="shared" si="39"/>
        <v>-210.546875</v>
      </c>
      <c r="O448" s="2">
        <f t="shared" si="40"/>
        <v>354.2</v>
      </c>
      <c r="P448" s="2">
        <f t="shared" si="41"/>
        <v>708.4</v>
      </c>
    </row>
    <row r="449" spans="1:16">
      <c r="A449" s="1">
        <v>448</v>
      </c>
      <c r="B449" s="1">
        <v>23</v>
      </c>
      <c r="C449" s="1" t="s">
        <v>18</v>
      </c>
      <c r="D449" s="1">
        <v>163.6</v>
      </c>
      <c r="E449" s="1">
        <v>78.8</v>
      </c>
      <c r="F449" s="1">
        <v>1624</v>
      </c>
      <c r="G449" s="1" t="s">
        <v>17</v>
      </c>
      <c r="H449" s="1">
        <v>1.375</v>
      </c>
      <c r="I449" s="1">
        <v>1.636</v>
      </c>
      <c r="J449" s="1">
        <v>29.4414787094768</v>
      </c>
      <c r="K449" t="str">
        <f t="shared" si="36"/>
        <v>缺口合适</v>
      </c>
      <c r="L449" s="2">
        <f t="shared" si="37"/>
        <v>1534.5</v>
      </c>
      <c r="M449" s="2">
        <f t="shared" si="38"/>
        <v>2109.9375</v>
      </c>
      <c r="N449" s="2">
        <f t="shared" si="39"/>
        <v>485.9375</v>
      </c>
      <c r="O449" s="2">
        <f t="shared" si="40"/>
        <v>433.4</v>
      </c>
      <c r="P449" s="2">
        <f t="shared" si="41"/>
        <v>866.8</v>
      </c>
    </row>
    <row r="450" spans="1:16">
      <c r="A450" s="1">
        <v>449</v>
      </c>
      <c r="B450" s="1">
        <v>26</v>
      </c>
      <c r="C450" s="1" t="s">
        <v>18</v>
      </c>
      <c r="D450" s="1">
        <v>166.3</v>
      </c>
      <c r="E450" s="1">
        <v>145.4</v>
      </c>
      <c r="F450" s="1">
        <v>1045</v>
      </c>
      <c r="G450" s="1" t="s">
        <v>21</v>
      </c>
      <c r="H450" s="1">
        <v>1.725</v>
      </c>
      <c r="I450" s="1">
        <v>1.663</v>
      </c>
      <c r="J450" s="1">
        <v>52.5750758704628</v>
      </c>
      <c r="K450" t="str">
        <f t="shared" ref="K450:K513" si="42">IF(N450&lt;=0,"没有热量缺口",IF(N450&lt;O450,"缺口过小",IF(N450&lt;=P450,"缺口合适","缺口过大")))</f>
        <v>缺口过大</v>
      </c>
      <c r="L450" s="2">
        <f t="shared" ref="L450:L513" si="43">IF(C450="male",10*E450+6.25*D450-5*B450+5,10*E450+6.25*D450-5*B450-161)</f>
        <v>2202.375</v>
      </c>
      <c r="M450" s="2">
        <f t="shared" ref="M450:M513" si="44">L450*H450</f>
        <v>3799.096875</v>
      </c>
      <c r="N450" s="2">
        <f t="shared" ref="N450:N513" si="45">M450-F450</f>
        <v>2754.096875</v>
      </c>
      <c r="O450" s="2">
        <f t="shared" ref="O450:O513" si="46">E450*0.005*7700/7</f>
        <v>799.7</v>
      </c>
      <c r="P450" s="2">
        <f t="shared" ref="P450:P513" si="47">E450*0.01*7700/7</f>
        <v>1599.4</v>
      </c>
    </row>
    <row r="451" spans="1:16">
      <c r="A451" s="1">
        <v>450</v>
      </c>
      <c r="B451" s="1">
        <v>33</v>
      </c>
      <c r="C451" s="1" t="s">
        <v>18</v>
      </c>
      <c r="D451" s="1">
        <v>170.6</v>
      </c>
      <c r="E451" s="1">
        <v>66</v>
      </c>
      <c r="F451" s="1">
        <v>2136</v>
      </c>
      <c r="G451" s="1" t="s">
        <v>19</v>
      </c>
      <c r="H451" s="1">
        <v>1.2</v>
      </c>
      <c r="I451" s="1">
        <v>1.706</v>
      </c>
      <c r="J451" s="1">
        <v>22.677014715321</v>
      </c>
      <c r="K451" t="str">
        <f t="shared" si="42"/>
        <v>没有热量缺口</v>
      </c>
      <c r="L451" s="2">
        <f t="shared" si="43"/>
        <v>1400.25</v>
      </c>
      <c r="M451" s="2">
        <f t="shared" si="44"/>
        <v>1680.3</v>
      </c>
      <c r="N451" s="2">
        <f t="shared" si="45"/>
        <v>-455.7</v>
      </c>
      <c r="O451" s="2">
        <f t="shared" si="46"/>
        <v>363</v>
      </c>
      <c r="P451" s="2">
        <f t="shared" si="47"/>
        <v>726</v>
      </c>
    </row>
    <row r="452" spans="1:16">
      <c r="A452" s="1">
        <v>451</v>
      </c>
      <c r="B452" s="1">
        <v>23</v>
      </c>
      <c r="C452" s="1" t="s">
        <v>16</v>
      </c>
      <c r="D452" s="1">
        <v>170.4</v>
      </c>
      <c r="E452" s="1">
        <v>84.2</v>
      </c>
      <c r="F452" s="1">
        <v>2574</v>
      </c>
      <c r="G452" s="1" t="s">
        <v>21</v>
      </c>
      <c r="H452" s="1">
        <v>1.725</v>
      </c>
      <c r="I452" s="1">
        <v>1.704</v>
      </c>
      <c r="J452" s="1">
        <v>28.9983248473627</v>
      </c>
      <c r="K452" t="str">
        <f t="shared" si="42"/>
        <v>缺口合适</v>
      </c>
      <c r="L452" s="2">
        <f t="shared" si="43"/>
        <v>1797</v>
      </c>
      <c r="M452" s="2">
        <f t="shared" si="44"/>
        <v>3099.825</v>
      </c>
      <c r="N452" s="2">
        <f t="shared" si="45"/>
        <v>525.825</v>
      </c>
      <c r="O452" s="2">
        <f t="shared" si="46"/>
        <v>463.1</v>
      </c>
      <c r="P452" s="2">
        <f t="shared" si="47"/>
        <v>926.2</v>
      </c>
    </row>
    <row r="453" spans="1:16">
      <c r="A453" s="1">
        <v>452</v>
      </c>
      <c r="B453" s="1">
        <v>32</v>
      </c>
      <c r="C453" s="1" t="s">
        <v>18</v>
      </c>
      <c r="D453" s="1">
        <v>158.3</v>
      </c>
      <c r="E453" s="1">
        <v>59.7</v>
      </c>
      <c r="F453" s="1">
        <v>1072</v>
      </c>
      <c r="G453" s="1" t="s">
        <v>17</v>
      </c>
      <c r="H453" s="1">
        <v>1.375</v>
      </c>
      <c r="I453" s="1">
        <v>1.583</v>
      </c>
      <c r="J453" s="1">
        <v>23.8238804671715</v>
      </c>
      <c r="K453" t="str">
        <f t="shared" si="42"/>
        <v>缺口过大</v>
      </c>
      <c r="L453" s="2">
        <f t="shared" si="43"/>
        <v>1265.375</v>
      </c>
      <c r="M453" s="2">
        <f t="shared" si="44"/>
        <v>1739.890625</v>
      </c>
      <c r="N453" s="2">
        <f t="shared" si="45"/>
        <v>667.890625</v>
      </c>
      <c r="O453" s="2">
        <f t="shared" si="46"/>
        <v>328.35</v>
      </c>
      <c r="P453" s="2">
        <f t="shared" si="47"/>
        <v>656.7</v>
      </c>
    </row>
    <row r="454" spans="1:16">
      <c r="A454" s="1">
        <v>453</v>
      </c>
      <c r="B454" s="1">
        <v>23</v>
      </c>
      <c r="C454" s="1" t="s">
        <v>18</v>
      </c>
      <c r="D454" s="1">
        <v>165.1</v>
      </c>
      <c r="E454" s="1">
        <v>64.7</v>
      </c>
      <c r="F454" s="1">
        <v>2205</v>
      </c>
      <c r="G454" s="1" t="s">
        <v>20</v>
      </c>
      <c r="H454" s="1">
        <v>1.55</v>
      </c>
      <c r="I454" s="1">
        <v>1.651</v>
      </c>
      <c r="J454" s="1">
        <v>23.7361421468405</v>
      </c>
      <c r="K454" t="str">
        <f t="shared" si="42"/>
        <v>没有热量缺口</v>
      </c>
      <c r="L454" s="2">
        <f t="shared" si="43"/>
        <v>1402.875</v>
      </c>
      <c r="M454" s="2">
        <f t="shared" si="44"/>
        <v>2174.45625</v>
      </c>
      <c r="N454" s="2">
        <f t="shared" si="45"/>
        <v>-30.5437499999998</v>
      </c>
      <c r="O454" s="2">
        <f t="shared" si="46"/>
        <v>355.85</v>
      </c>
      <c r="P454" s="2">
        <f t="shared" si="47"/>
        <v>711.7</v>
      </c>
    </row>
    <row r="455" spans="1:16">
      <c r="A455" s="1">
        <v>454</v>
      </c>
      <c r="B455" s="1">
        <v>31</v>
      </c>
      <c r="C455" s="1" t="s">
        <v>16</v>
      </c>
      <c r="D455" s="1">
        <v>172.9</v>
      </c>
      <c r="E455" s="1">
        <v>77.5</v>
      </c>
      <c r="F455" s="1">
        <v>2490</v>
      </c>
      <c r="G455" s="1" t="s">
        <v>21</v>
      </c>
      <c r="H455" s="1">
        <v>1.725</v>
      </c>
      <c r="I455" s="1">
        <v>1.729</v>
      </c>
      <c r="J455" s="1">
        <v>25.9245792106283</v>
      </c>
      <c r="K455" t="str">
        <f t="shared" si="42"/>
        <v>缺口合适</v>
      </c>
      <c r="L455" s="2">
        <f t="shared" si="43"/>
        <v>1705.625</v>
      </c>
      <c r="M455" s="2">
        <f t="shared" si="44"/>
        <v>2942.203125</v>
      </c>
      <c r="N455" s="2">
        <f t="shared" si="45"/>
        <v>452.203125</v>
      </c>
      <c r="O455" s="2">
        <f t="shared" si="46"/>
        <v>426.25</v>
      </c>
      <c r="P455" s="2">
        <f t="shared" si="47"/>
        <v>852.5</v>
      </c>
    </row>
    <row r="456" spans="1:16">
      <c r="A456" s="1">
        <v>455</v>
      </c>
      <c r="B456" s="1">
        <v>31</v>
      </c>
      <c r="C456" s="1" t="s">
        <v>18</v>
      </c>
      <c r="D456" s="1">
        <v>167.9</v>
      </c>
      <c r="E456" s="1">
        <v>91.9</v>
      </c>
      <c r="F456" s="1">
        <v>1678</v>
      </c>
      <c r="G456" s="1" t="s">
        <v>19</v>
      </c>
      <c r="H456" s="1">
        <v>1.2</v>
      </c>
      <c r="I456" s="1">
        <v>1.679</v>
      </c>
      <c r="J456" s="1">
        <v>32.5997387054675</v>
      </c>
      <c r="K456" t="str">
        <f t="shared" si="42"/>
        <v>缺口过小</v>
      </c>
      <c r="L456" s="2">
        <f t="shared" si="43"/>
        <v>1652.375</v>
      </c>
      <c r="M456" s="2">
        <f t="shared" si="44"/>
        <v>1982.85</v>
      </c>
      <c r="N456" s="2">
        <f t="shared" si="45"/>
        <v>304.85</v>
      </c>
      <c r="O456" s="2">
        <f t="shared" si="46"/>
        <v>505.45</v>
      </c>
      <c r="P456" s="2">
        <f t="shared" si="47"/>
        <v>1010.9</v>
      </c>
    </row>
    <row r="457" spans="1:16">
      <c r="A457" s="1">
        <v>456</v>
      </c>
      <c r="B457" s="1">
        <v>33</v>
      </c>
      <c r="C457" s="1" t="s">
        <v>18</v>
      </c>
      <c r="D457" s="1">
        <v>160.9</v>
      </c>
      <c r="E457" s="1">
        <v>113</v>
      </c>
      <c r="F457" s="1">
        <v>1230</v>
      </c>
      <c r="G457" s="1" t="s">
        <v>17</v>
      </c>
      <c r="H457" s="1">
        <v>1.375</v>
      </c>
      <c r="I457" s="1">
        <v>1.609</v>
      </c>
      <c r="J457" s="1">
        <v>43.6482016747776</v>
      </c>
      <c r="K457" t="str">
        <f t="shared" si="42"/>
        <v>缺口过大</v>
      </c>
      <c r="L457" s="2">
        <f t="shared" si="43"/>
        <v>1809.625</v>
      </c>
      <c r="M457" s="2">
        <f t="shared" si="44"/>
        <v>2488.234375</v>
      </c>
      <c r="N457" s="2">
        <f t="shared" si="45"/>
        <v>1258.234375</v>
      </c>
      <c r="O457" s="2">
        <f t="shared" si="46"/>
        <v>621.5</v>
      </c>
      <c r="P457" s="2">
        <f t="shared" si="47"/>
        <v>1243</v>
      </c>
    </row>
    <row r="458" spans="1:16">
      <c r="A458" s="1">
        <v>457</v>
      </c>
      <c r="B458" s="1">
        <v>31</v>
      </c>
      <c r="C458" s="1" t="s">
        <v>16</v>
      </c>
      <c r="D458" s="1">
        <v>185.2</v>
      </c>
      <c r="E458" s="1">
        <v>101.6</v>
      </c>
      <c r="F458" s="1">
        <v>1979</v>
      </c>
      <c r="G458" s="1" t="s">
        <v>21</v>
      </c>
      <c r="H458" s="1">
        <v>1.725</v>
      </c>
      <c r="I458" s="1">
        <v>1.85199999999999</v>
      </c>
      <c r="J458" s="1">
        <v>29.6218203191692</v>
      </c>
      <c r="K458" t="str">
        <f t="shared" si="42"/>
        <v>缺口过大</v>
      </c>
      <c r="L458" s="2">
        <f t="shared" si="43"/>
        <v>2023.5</v>
      </c>
      <c r="M458" s="2">
        <f t="shared" si="44"/>
        <v>3490.5375</v>
      </c>
      <c r="N458" s="2">
        <f t="shared" si="45"/>
        <v>1511.5375</v>
      </c>
      <c r="O458" s="2">
        <f t="shared" si="46"/>
        <v>558.8</v>
      </c>
      <c r="P458" s="2">
        <f t="shared" si="47"/>
        <v>1117.6</v>
      </c>
    </row>
    <row r="459" spans="1:16">
      <c r="A459" s="1">
        <v>458</v>
      </c>
      <c r="B459" s="1">
        <v>30</v>
      </c>
      <c r="C459" s="1" t="s">
        <v>18</v>
      </c>
      <c r="D459" s="1">
        <v>168.5</v>
      </c>
      <c r="E459" s="1">
        <v>62.8</v>
      </c>
      <c r="F459" s="1">
        <v>2253</v>
      </c>
      <c r="G459" s="1" t="s">
        <v>17</v>
      </c>
      <c r="H459" s="1">
        <v>1.375</v>
      </c>
      <c r="I459" s="1">
        <v>1.685</v>
      </c>
      <c r="J459" s="1">
        <v>22.1187119724572</v>
      </c>
      <c r="K459" t="str">
        <f t="shared" si="42"/>
        <v>没有热量缺口</v>
      </c>
      <c r="L459" s="2">
        <f t="shared" si="43"/>
        <v>1370.125</v>
      </c>
      <c r="M459" s="2">
        <f t="shared" si="44"/>
        <v>1883.921875</v>
      </c>
      <c r="N459" s="2">
        <f t="shared" si="45"/>
        <v>-369.078125</v>
      </c>
      <c r="O459" s="2">
        <f t="shared" si="46"/>
        <v>345.4</v>
      </c>
      <c r="P459" s="2">
        <f t="shared" si="47"/>
        <v>690.8</v>
      </c>
    </row>
    <row r="460" spans="1:16">
      <c r="A460" s="1">
        <v>459</v>
      </c>
      <c r="B460" s="1">
        <v>33</v>
      </c>
      <c r="C460" s="1" t="s">
        <v>18</v>
      </c>
      <c r="D460" s="1">
        <v>152</v>
      </c>
      <c r="E460" s="1">
        <v>105.3</v>
      </c>
      <c r="F460" s="1">
        <v>486</v>
      </c>
      <c r="G460" s="1" t="s">
        <v>19</v>
      </c>
      <c r="H460" s="1">
        <v>1.2</v>
      </c>
      <c r="I460" s="1">
        <v>1.52</v>
      </c>
      <c r="J460" s="1">
        <v>45.5765235457063</v>
      </c>
      <c r="K460" t="str">
        <f t="shared" si="42"/>
        <v>缺口过大</v>
      </c>
      <c r="L460" s="2">
        <f t="shared" si="43"/>
        <v>1677</v>
      </c>
      <c r="M460" s="2">
        <f t="shared" si="44"/>
        <v>2012.4</v>
      </c>
      <c r="N460" s="2">
        <f t="shared" si="45"/>
        <v>1526.4</v>
      </c>
      <c r="O460" s="2">
        <f t="shared" si="46"/>
        <v>579.15</v>
      </c>
      <c r="P460" s="2">
        <f t="shared" si="47"/>
        <v>1158.3</v>
      </c>
    </row>
    <row r="461" spans="1:16">
      <c r="A461" s="1">
        <v>460</v>
      </c>
      <c r="B461" s="1">
        <v>34</v>
      </c>
      <c r="C461" s="1" t="s">
        <v>16</v>
      </c>
      <c r="D461" s="1">
        <v>174.4</v>
      </c>
      <c r="E461" s="1">
        <v>103.1</v>
      </c>
      <c r="F461" s="1">
        <v>1058</v>
      </c>
      <c r="G461" s="1" t="s">
        <v>17</v>
      </c>
      <c r="H461" s="1">
        <v>1.375</v>
      </c>
      <c r="I461" s="1">
        <v>1.744</v>
      </c>
      <c r="J461" s="1">
        <v>33.8973466038212</v>
      </c>
      <c r="K461" t="str">
        <f t="shared" si="42"/>
        <v>缺口过大</v>
      </c>
      <c r="L461" s="2">
        <f t="shared" si="43"/>
        <v>1956</v>
      </c>
      <c r="M461" s="2">
        <f t="shared" si="44"/>
        <v>2689.5</v>
      </c>
      <c r="N461" s="2">
        <f t="shared" si="45"/>
        <v>1631.5</v>
      </c>
      <c r="O461" s="2">
        <f t="shared" si="46"/>
        <v>567.05</v>
      </c>
      <c r="P461" s="2">
        <f t="shared" si="47"/>
        <v>1134.1</v>
      </c>
    </row>
    <row r="462" spans="1:16">
      <c r="A462" s="1">
        <v>461</v>
      </c>
      <c r="B462" s="1">
        <v>27</v>
      </c>
      <c r="C462" s="1" t="s">
        <v>18</v>
      </c>
      <c r="D462" s="1">
        <v>154.4</v>
      </c>
      <c r="E462" s="1">
        <v>49</v>
      </c>
      <c r="F462" s="1">
        <v>871</v>
      </c>
      <c r="G462" s="1" t="s">
        <v>19</v>
      </c>
      <c r="H462" s="1">
        <v>1.2</v>
      </c>
      <c r="I462" s="1">
        <v>1.544</v>
      </c>
      <c r="J462" s="1">
        <v>20.5542430669279</v>
      </c>
      <c r="K462" t="str">
        <f t="shared" si="42"/>
        <v>缺口合适</v>
      </c>
      <c r="L462" s="2">
        <f t="shared" si="43"/>
        <v>1159</v>
      </c>
      <c r="M462" s="2">
        <f t="shared" si="44"/>
        <v>1390.8</v>
      </c>
      <c r="N462" s="2">
        <f t="shared" si="45"/>
        <v>519.8</v>
      </c>
      <c r="O462" s="2">
        <f t="shared" si="46"/>
        <v>269.5</v>
      </c>
      <c r="P462" s="2">
        <f t="shared" si="47"/>
        <v>539</v>
      </c>
    </row>
    <row r="463" spans="1:16">
      <c r="A463" s="1">
        <v>462</v>
      </c>
      <c r="B463" s="1">
        <v>26</v>
      </c>
      <c r="C463" s="1" t="s">
        <v>18</v>
      </c>
      <c r="D463" s="1">
        <v>149.9</v>
      </c>
      <c r="E463" s="1">
        <v>56.1</v>
      </c>
      <c r="F463" s="1">
        <v>1120</v>
      </c>
      <c r="G463" s="1" t="s">
        <v>17</v>
      </c>
      <c r="H463" s="1">
        <v>1.375</v>
      </c>
      <c r="I463" s="1">
        <v>1.499</v>
      </c>
      <c r="J463" s="1">
        <v>24.9666110517974</v>
      </c>
      <c r="K463" t="str">
        <f t="shared" si="42"/>
        <v>缺口合适</v>
      </c>
      <c r="L463" s="2">
        <f t="shared" si="43"/>
        <v>1206.875</v>
      </c>
      <c r="M463" s="2">
        <f t="shared" si="44"/>
        <v>1659.453125</v>
      </c>
      <c r="N463" s="2">
        <f t="shared" si="45"/>
        <v>539.453125</v>
      </c>
      <c r="O463" s="2">
        <f t="shared" si="46"/>
        <v>308.55</v>
      </c>
      <c r="P463" s="2">
        <f t="shared" si="47"/>
        <v>617.1</v>
      </c>
    </row>
    <row r="464" spans="1:16">
      <c r="A464" s="1">
        <v>463</v>
      </c>
      <c r="B464" s="1">
        <v>32</v>
      </c>
      <c r="C464" s="1" t="s">
        <v>18</v>
      </c>
      <c r="D464" s="1">
        <v>157.9</v>
      </c>
      <c r="E464" s="1">
        <v>74.5</v>
      </c>
      <c r="F464" s="1">
        <v>1206</v>
      </c>
      <c r="G464" s="1" t="s">
        <v>21</v>
      </c>
      <c r="H464" s="1">
        <v>1.725</v>
      </c>
      <c r="I464" s="1">
        <v>1.579</v>
      </c>
      <c r="J464" s="1">
        <v>29.8807856921974</v>
      </c>
      <c r="K464" t="str">
        <f t="shared" si="42"/>
        <v>缺口过大</v>
      </c>
      <c r="L464" s="2">
        <f t="shared" si="43"/>
        <v>1410.875</v>
      </c>
      <c r="M464" s="2">
        <f t="shared" si="44"/>
        <v>2433.759375</v>
      </c>
      <c r="N464" s="2">
        <f t="shared" si="45"/>
        <v>1227.759375</v>
      </c>
      <c r="O464" s="2">
        <f t="shared" si="46"/>
        <v>409.75</v>
      </c>
      <c r="P464" s="2">
        <f t="shared" si="47"/>
        <v>819.5</v>
      </c>
    </row>
    <row r="465" spans="1:16">
      <c r="A465" s="1">
        <v>464</v>
      </c>
      <c r="B465" s="1">
        <v>33</v>
      </c>
      <c r="C465" s="1" t="s">
        <v>16</v>
      </c>
      <c r="D465" s="1">
        <v>167.5</v>
      </c>
      <c r="E465" s="1">
        <v>87.7</v>
      </c>
      <c r="F465" s="1">
        <v>2286</v>
      </c>
      <c r="G465" s="1" t="s">
        <v>17</v>
      </c>
      <c r="H465" s="1">
        <v>1.375</v>
      </c>
      <c r="I465" s="1">
        <v>1.675</v>
      </c>
      <c r="J465" s="1">
        <v>31.2586322120739</v>
      </c>
      <c r="K465" t="str">
        <f t="shared" si="42"/>
        <v>缺口过小</v>
      </c>
      <c r="L465" s="2">
        <f t="shared" si="43"/>
        <v>1763.875</v>
      </c>
      <c r="M465" s="2">
        <f t="shared" si="44"/>
        <v>2425.328125</v>
      </c>
      <c r="N465" s="2">
        <f t="shared" si="45"/>
        <v>139.328125</v>
      </c>
      <c r="O465" s="2">
        <f t="shared" si="46"/>
        <v>482.35</v>
      </c>
      <c r="P465" s="2">
        <f t="shared" si="47"/>
        <v>964.7</v>
      </c>
    </row>
    <row r="466" spans="1:16">
      <c r="A466" s="1">
        <v>465</v>
      </c>
      <c r="B466" s="1">
        <v>26</v>
      </c>
      <c r="C466" s="1" t="s">
        <v>16</v>
      </c>
      <c r="D466" s="1">
        <v>170</v>
      </c>
      <c r="E466" s="1">
        <v>82</v>
      </c>
      <c r="F466" s="1">
        <v>2601</v>
      </c>
      <c r="G466" s="1" t="s">
        <v>21</v>
      </c>
      <c r="H466" s="1">
        <v>1.725</v>
      </c>
      <c r="I466" s="1">
        <v>1.7</v>
      </c>
      <c r="J466" s="1">
        <v>28.3737024221453</v>
      </c>
      <c r="K466" t="str">
        <f t="shared" si="42"/>
        <v>缺口过小</v>
      </c>
      <c r="L466" s="2">
        <f t="shared" si="43"/>
        <v>1757.5</v>
      </c>
      <c r="M466" s="2">
        <f t="shared" si="44"/>
        <v>3031.6875</v>
      </c>
      <c r="N466" s="2">
        <f t="shared" si="45"/>
        <v>430.6875</v>
      </c>
      <c r="O466" s="2">
        <f t="shared" si="46"/>
        <v>451</v>
      </c>
      <c r="P466" s="2">
        <f t="shared" si="47"/>
        <v>902</v>
      </c>
    </row>
    <row r="467" spans="1:16">
      <c r="A467" s="1">
        <v>466</v>
      </c>
      <c r="B467" s="1">
        <v>25</v>
      </c>
      <c r="C467" s="1" t="s">
        <v>18</v>
      </c>
      <c r="D467" s="1">
        <v>164.7</v>
      </c>
      <c r="E467" s="1">
        <v>56.8</v>
      </c>
      <c r="F467" s="1">
        <v>3058</v>
      </c>
      <c r="G467" s="1" t="s">
        <v>19</v>
      </c>
      <c r="H467" s="1">
        <v>1.2</v>
      </c>
      <c r="I467" s="1">
        <v>1.64699999999999</v>
      </c>
      <c r="J467" s="1">
        <v>20.9392507360994</v>
      </c>
      <c r="K467" t="str">
        <f t="shared" si="42"/>
        <v>没有热量缺口</v>
      </c>
      <c r="L467" s="2">
        <f t="shared" si="43"/>
        <v>1311.375</v>
      </c>
      <c r="M467" s="2">
        <f t="shared" si="44"/>
        <v>1573.65</v>
      </c>
      <c r="N467" s="2">
        <f t="shared" si="45"/>
        <v>-1484.35</v>
      </c>
      <c r="O467" s="2">
        <f t="shared" si="46"/>
        <v>312.4</v>
      </c>
      <c r="P467" s="2">
        <f t="shared" si="47"/>
        <v>624.8</v>
      </c>
    </row>
    <row r="468" spans="1:16">
      <c r="A468" s="1">
        <v>467</v>
      </c>
      <c r="B468" s="1">
        <v>20</v>
      </c>
      <c r="C468" s="1" t="s">
        <v>18</v>
      </c>
      <c r="D468" s="1">
        <v>156.3</v>
      </c>
      <c r="E468" s="1">
        <v>53.1</v>
      </c>
      <c r="F468" s="1">
        <v>1073</v>
      </c>
      <c r="G468" s="1" t="s">
        <v>19</v>
      </c>
      <c r="H468" s="1">
        <v>1.2</v>
      </c>
      <c r="I468" s="1">
        <v>1.563</v>
      </c>
      <c r="J468" s="1">
        <v>21.7358468322766</v>
      </c>
      <c r="K468" t="str">
        <f t="shared" si="42"/>
        <v>缺口合适</v>
      </c>
      <c r="L468" s="2">
        <f t="shared" si="43"/>
        <v>1246.875</v>
      </c>
      <c r="M468" s="2">
        <f t="shared" si="44"/>
        <v>1496.25</v>
      </c>
      <c r="N468" s="2">
        <f t="shared" si="45"/>
        <v>423.25</v>
      </c>
      <c r="O468" s="2">
        <f t="shared" si="46"/>
        <v>292.05</v>
      </c>
      <c r="P468" s="2">
        <f t="shared" si="47"/>
        <v>584.1</v>
      </c>
    </row>
    <row r="469" spans="1:16">
      <c r="A469" s="1">
        <v>468</v>
      </c>
      <c r="B469" s="1">
        <v>31</v>
      </c>
      <c r="C469" s="1" t="s">
        <v>18</v>
      </c>
      <c r="D469" s="1">
        <v>163.9</v>
      </c>
      <c r="E469" s="1">
        <v>72.4</v>
      </c>
      <c r="F469" s="1">
        <v>886</v>
      </c>
      <c r="G469" s="1" t="s">
        <v>20</v>
      </c>
      <c r="H469" s="1">
        <v>1.55</v>
      </c>
      <c r="I469" s="1">
        <v>1.639</v>
      </c>
      <c r="J469" s="1">
        <v>26.9513583819655</v>
      </c>
      <c r="K469" t="str">
        <f t="shared" si="42"/>
        <v>缺口过大</v>
      </c>
      <c r="L469" s="2">
        <f t="shared" si="43"/>
        <v>1432.375</v>
      </c>
      <c r="M469" s="2">
        <f t="shared" si="44"/>
        <v>2220.18125</v>
      </c>
      <c r="N469" s="2">
        <f t="shared" si="45"/>
        <v>1334.18125</v>
      </c>
      <c r="O469" s="2">
        <f t="shared" si="46"/>
        <v>398.2</v>
      </c>
      <c r="P469" s="2">
        <f t="shared" si="47"/>
        <v>796.4</v>
      </c>
    </row>
    <row r="470" spans="1:16">
      <c r="A470" s="1">
        <v>469</v>
      </c>
      <c r="B470" s="1">
        <v>31</v>
      </c>
      <c r="C470" s="1" t="s">
        <v>16</v>
      </c>
      <c r="D470" s="1">
        <v>176.9</v>
      </c>
      <c r="E470" s="1">
        <v>111.8</v>
      </c>
      <c r="F470" s="1">
        <v>3559</v>
      </c>
      <c r="G470" s="1" t="s">
        <v>21</v>
      </c>
      <c r="H470" s="1">
        <v>1.725</v>
      </c>
      <c r="I470" s="1">
        <v>1.769</v>
      </c>
      <c r="J470" s="1">
        <v>35.7261434522894</v>
      </c>
      <c r="K470" t="str">
        <f t="shared" si="42"/>
        <v>缺口过小</v>
      </c>
      <c r="L470" s="2">
        <f t="shared" si="43"/>
        <v>2073.625</v>
      </c>
      <c r="M470" s="2">
        <f t="shared" si="44"/>
        <v>3577.003125</v>
      </c>
      <c r="N470" s="2">
        <f t="shared" si="45"/>
        <v>18.0031250000002</v>
      </c>
      <c r="O470" s="2">
        <f t="shared" si="46"/>
        <v>614.9</v>
      </c>
      <c r="P470" s="2">
        <f t="shared" si="47"/>
        <v>1229.8</v>
      </c>
    </row>
    <row r="471" spans="1:16">
      <c r="A471" s="1">
        <v>470</v>
      </c>
      <c r="B471" s="1">
        <v>28</v>
      </c>
      <c r="C471" s="1" t="s">
        <v>16</v>
      </c>
      <c r="D471" s="1">
        <v>181.1</v>
      </c>
      <c r="E471" s="1">
        <v>127</v>
      </c>
      <c r="F471" s="1">
        <v>2653</v>
      </c>
      <c r="G471" s="1" t="s">
        <v>17</v>
      </c>
      <c r="H471" s="1">
        <v>1.375</v>
      </c>
      <c r="I471" s="1">
        <v>1.811</v>
      </c>
      <c r="J471" s="1">
        <v>38.7228059947782</v>
      </c>
      <c r="K471" t="str">
        <f t="shared" si="42"/>
        <v>缺口过小</v>
      </c>
      <c r="L471" s="2">
        <f t="shared" si="43"/>
        <v>2266.875</v>
      </c>
      <c r="M471" s="2">
        <f t="shared" si="44"/>
        <v>3116.953125</v>
      </c>
      <c r="N471" s="2">
        <f t="shared" si="45"/>
        <v>463.953125</v>
      </c>
      <c r="O471" s="2">
        <f t="shared" si="46"/>
        <v>698.5</v>
      </c>
      <c r="P471" s="2">
        <f t="shared" si="47"/>
        <v>1397</v>
      </c>
    </row>
    <row r="472" spans="1:16">
      <c r="A472" s="1">
        <v>471</v>
      </c>
      <c r="B472" s="1">
        <v>31</v>
      </c>
      <c r="C472" s="1" t="s">
        <v>18</v>
      </c>
      <c r="D472" s="1">
        <v>162.5</v>
      </c>
      <c r="E472" s="1">
        <v>128.1</v>
      </c>
      <c r="F472" s="1">
        <v>2421</v>
      </c>
      <c r="G472" s="1" t="s">
        <v>17</v>
      </c>
      <c r="H472" s="1">
        <v>1.375</v>
      </c>
      <c r="I472" s="1">
        <v>1.625</v>
      </c>
      <c r="J472" s="1">
        <v>48.5112426035502</v>
      </c>
      <c r="K472" t="str">
        <f t="shared" si="42"/>
        <v>缺口过小</v>
      </c>
      <c r="L472" s="2">
        <f t="shared" si="43"/>
        <v>1980.625</v>
      </c>
      <c r="M472" s="2">
        <f t="shared" si="44"/>
        <v>2723.359375</v>
      </c>
      <c r="N472" s="2">
        <f t="shared" si="45"/>
        <v>302.359375</v>
      </c>
      <c r="O472" s="2">
        <f t="shared" si="46"/>
        <v>704.55</v>
      </c>
      <c r="P472" s="2">
        <f t="shared" si="47"/>
        <v>1409.1</v>
      </c>
    </row>
    <row r="473" spans="1:16">
      <c r="A473" s="1">
        <v>472</v>
      </c>
      <c r="B473" s="1">
        <v>26</v>
      </c>
      <c r="C473" s="1" t="s">
        <v>16</v>
      </c>
      <c r="D473" s="1">
        <v>186.7</v>
      </c>
      <c r="E473" s="1">
        <v>72.6</v>
      </c>
      <c r="F473" s="1">
        <v>2293</v>
      </c>
      <c r="G473" s="1" t="s">
        <v>21</v>
      </c>
      <c r="H473" s="1">
        <v>1.725</v>
      </c>
      <c r="I473" s="1">
        <v>1.867</v>
      </c>
      <c r="J473" s="1">
        <v>20.8280199409643</v>
      </c>
      <c r="K473" t="str">
        <f t="shared" si="42"/>
        <v>缺口合适</v>
      </c>
      <c r="L473" s="2">
        <f t="shared" si="43"/>
        <v>1767.875</v>
      </c>
      <c r="M473" s="2">
        <f t="shared" si="44"/>
        <v>3049.584375</v>
      </c>
      <c r="N473" s="2">
        <f t="shared" si="45"/>
        <v>756.584375</v>
      </c>
      <c r="O473" s="2">
        <f t="shared" si="46"/>
        <v>399.3</v>
      </c>
      <c r="P473" s="2">
        <f t="shared" si="47"/>
        <v>798.6</v>
      </c>
    </row>
    <row r="474" spans="1:16">
      <c r="A474" s="1">
        <v>473</v>
      </c>
      <c r="B474" s="1">
        <v>31</v>
      </c>
      <c r="C474" s="1" t="s">
        <v>18</v>
      </c>
      <c r="D474" s="1">
        <v>163.4</v>
      </c>
      <c r="E474" s="1">
        <v>153.3</v>
      </c>
      <c r="F474" s="1">
        <v>2799</v>
      </c>
      <c r="G474" s="1" t="s">
        <v>21</v>
      </c>
      <c r="H474" s="1">
        <v>1.725</v>
      </c>
      <c r="I474" s="1">
        <v>1.634</v>
      </c>
      <c r="J474" s="1">
        <v>57.4166765295008</v>
      </c>
      <c r="K474" t="str">
        <f t="shared" si="42"/>
        <v>缺口合适</v>
      </c>
      <c r="L474" s="2">
        <f t="shared" si="43"/>
        <v>2238.25</v>
      </c>
      <c r="M474" s="2">
        <f t="shared" si="44"/>
        <v>3860.98125</v>
      </c>
      <c r="N474" s="2">
        <f t="shared" si="45"/>
        <v>1061.98125</v>
      </c>
      <c r="O474" s="2">
        <f t="shared" si="46"/>
        <v>843.15</v>
      </c>
      <c r="P474" s="2">
        <f t="shared" si="47"/>
        <v>1686.3</v>
      </c>
    </row>
    <row r="475" spans="1:16">
      <c r="A475" s="1">
        <v>474</v>
      </c>
      <c r="B475" s="1">
        <v>35</v>
      </c>
      <c r="C475" s="1" t="s">
        <v>18</v>
      </c>
      <c r="D475" s="1">
        <v>160</v>
      </c>
      <c r="E475" s="1">
        <v>78</v>
      </c>
      <c r="F475" s="1">
        <v>1329</v>
      </c>
      <c r="G475" s="1" t="s">
        <v>20</v>
      </c>
      <c r="H475" s="1">
        <v>1.55</v>
      </c>
      <c r="I475" s="1">
        <v>1.6</v>
      </c>
      <c r="J475" s="1">
        <v>30.4687499999999</v>
      </c>
      <c r="K475" t="str">
        <f t="shared" si="42"/>
        <v>缺口过大</v>
      </c>
      <c r="L475" s="2">
        <f t="shared" si="43"/>
        <v>1444</v>
      </c>
      <c r="M475" s="2">
        <f t="shared" si="44"/>
        <v>2238.2</v>
      </c>
      <c r="N475" s="2">
        <f t="shared" si="45"/>
        <v>909.2</v>
      </c>
      <c r="O475" s="2">
        <f t="shared" si="46"/>
        <v>429</v>
      </c>
      <c r="P475" s="2">
        <f t="shared" si="47"/>
        <v>858</v>
      </c>
    </row>
    <row r="476" spans="1:16">
      <c r="A476" s="1">
        <v>475</v>
      </c>
      <c r="B476" s="1">
        <v>33</v>
      </c>
      <c r="C476" s="1" t="s">
        <v>16</v>
      </c>
      <c r="D476" s="1">
        <v>179.6</v>
      </c>
      <c r="E476" s="1">
        <v>134.1</v>
      </c>
      <c r="F476" s="1">
        <v>1102</v>
      </c>
      <c r="G476" s="1" t="s">
        <v>19</v>
      </c>
      <c r="H476" s="1">
        <v>1.2</v>
      </c>
      <c r="I476" s="1">
        <v>1.796</v>
      </c>
      <c r="J476" s="1">
        <v>41.5734544967534</v>
      </c>
      <c r="K476" t="str">
        <f t="shared" si="42"/>
        <v>缺口过大</v>
      </c>
      <c r="L476" s="2">
        <f t="shared" si="43"/>
        <v>2303.5</v>
      </c>
      <c r="M476" s="2">
        <f t="shared" si="44"/>
        <v>2764.2</v>
      </c>
      <c r="N476" s="2">
        <f t="shared" si="45"/>
        <v>1662.2</v>
      </c>
      <c r="O476" s="2">
        <f t="shared" si="46"/>
        <v>737.55</v>
      </c>
      <c r="P476" s="2">
        <f t="shared" si="47"/>
        <v>1475.1</v>
      </c>
    </row>
    <row r="477" spans="1:16">
      <c r="A477" s="1">
        <v>476</v>
      </c>
      <c r="B477" s="1">
        <v>20</v>
      </c>
      <c r="C477" s="1" t="s">
        <v>16</v>
      </c>
      <c r="D477" s="1">
        <v>170.2</v>
      </c>
      <c r="E477" s="1">
        <v>85.3</v>
      </c>
      <c r="F477" s="1">
        <v>1044</v>
      </c>
      <c r="G477" s="1" t="s">
        <v>21</v>
      </c>
      <c r="H477" s="1">
        <v>1.725</v>
      </c>
      <c r="I477" s="1">
        <v>1.702</v>
      </c>
      <c r="J477" s="1">
        <v>29.4462448960992</v>
      </c>
      <c r="K477" t="str">
        <f t="shared" si="42"/>
        <v>缺口过大</v>
      </c>
      <c r="L477" s="2">
        <f t="shared" si="43"/>
        <v>1821.75</v>
      </c>
      <c r="M477" s="2">
        <f t="shared" si="44"/>
        <v>3142.51875</v>
      </c>
      <c r="N477" s="2">
        <f t="shared" si="45"/>
        <v>2098.51875</v>
      </c>
      <c r="O477" s="2">
        <f t="shared" si="46"/>
        <v>469.15</v>
      </c>
      <c r="P477" s="2">
        <f t="shared" si="47"/>
        <v>938.3</v>
      </c>
    </row>
    <row r="478" spans="1:16">
      <c r="A478" s="1">
        <v>477</v>
      </c>
      <c r="B478" s="1">
        <v>23</v>
      </c>
      <c r="C478" s="1" t="s">
        <v>18</v>
      </c>
      <c r="D478" s="1">
        <v>165.5</v>
      </c>
      <c r="E478" s="1">
        <v>77.8</v>
      </c>
      <c r="F478" s="1">
        <v>1927</v>
      </c>
      <c r="G478" s="1" t="s">
        <v>20</v>
      </c>
      <c r="H478" s="1">
        <v>1.55</v>
      </c>
      <c r="I478" s="1">
        <v>1.655</v>
      </c>
      <c r="J478" s="1">
        <v>28.4042679420596</v>
      </c>
      <c r="K478" t="str">
        <f t="shared" si="42"/>
        <v>缺口合适</v>
      </c>
      <c r="L478" s="2">
        <f t="shared" si="43"/>
        <v>1536.375</v>
      </c>
      <c r="M478" s="2">
        <f t="shared" si="44"/>
        <v>2381.38125</v>
      </c>
      <c r="N478" s="2">
        <f t="shared" si="45"/>
        <v>454.38125</v>
      </c>
      <c r="O478" s="2">
        <f t="shared" si="46"/>
        <v>427.9</v>
      </c>
      <c r="P478" s="2">
        <f t="shared" si="47"/>
        <v>855.8</v>
      </c>
    </row>
    <row r="479" spans="1:16">
      <c r="A479" s="1">
        <v>478</v>
      </c>
      <c r="B479" s="1">
        <v>34</v>
      </c>
      <c r="C479" s="1" t="s">
        <v>18</v>
      </c>
      <c r="D479" s="1">
        <v>151.2</v>
      </c>
      <c r="E479" s="1">
        <v>76.8</v>
      </c>
      <c r="F479" s="1">
        <v>1149</v>
      </c>
      <c r="G479" s="1" t="s">
        <v>21</v>
      </c>
      <c r="H479" s="1">
        <v>1.725</v>
      </c>
      <c r="I479" s="1">
        <v>1.51199999999999</v>
      </c>
      <c r="J479" s="1">
        <v>33.5936843873351</v>
      </c>
      <c r="K479" t="str">
        <f t="shared" si="42"/>
        <v>缺口过大</v>
      </c>
      <c r="L479" s="2">
        <f t="shared" si="43"/>
        <v>1382</v>
      </c>
      <c r="M479" s="2">
        <f t="shared" si="44"/>
        <v>2383.95</v>
      </c>
      <c r="N479" s="2">
        <f t="shared" si="45"/>
        <v>1234.95</v>
      </c>
      <c r="O479" s="2">
        <f t="shared" si="46"/>
        <v>422.4</v>
      </c>
      <c r="P479" s="2">
        <f t="shared" si="47"/>
        <v>844.8</v>
      </c>
    </row>
    <row r="480" spans="1:16">
      <c r="A480" s="1">
        <v>479</v>
      </c>
      <c r="B480" s="1">
        <v>21</v>
      </c>
      <c r="C480" s="1" t="s">
        <v>18</v>
      </c>
      <c r="D480" s="1">
        <v>163.1</v>
      </c>
      <c r="E480" s="1">
        <v>76.7</v>
      </c>
      <c r="F480" s="1">
        <v>1590</v>
      </c>
      <c r="G480" s="1" t="s">
        <v>17</v>
      </c>
      <c r="H480" s="1">
        <v>1.375</v>
      </c>
      <c r="I480" s="1">
        <v>1.631</v>
      </c>
      <c r="J480" s="1">
        <v>28.8328413205065</v>
      </c>
      <c r="K480" t="str">
        <f t="shared" si="42"/>
        <v>缺口合适</v>
      </c>
      <c r="L480" s="2">
        <f t="shared" si="43"/>
        <v>1520.375</v>
      </c>
      <c r="M480" s="2">
        <f t="shared" si="44"/>
        <v>2090.515625</v>
      </c>
      <c r="N480" s="2">
        <f t="shared" si="45"/>
        <v>500.515625</v>
      </c>
      <c r="O480" s="2">
        <f t="shared" si="46"/>
        <v>421.85</v>
      </c>
      <c r="P480" s="2">
        <f t="shared" si="47"/>
        <v>843.7</v>
      </c>
    </row>
    <row r="481" spans="1:16">
      <c r="A481" s="1">
        <v>480</v>
      </c>
      <c r="B481" s="1">
        <v>33</v>
      </c>
      <c r="C481" s="1" t="s">
        <v>18</v>
      </c>
      <c r="D481" s="1">
        <v>165.3</v>
      </c>
      <c r="E481" s="1">
        <v>75.3</v>
      </c>
      <c r="F481" s="1">
        <v>2285</v>
      </c>
      <c r="G481" s="1" t="s">
        <v>17</v>
      </c>
      <c r="H481" s="1">
        <v>1.375</v>
      </c>
      <c r="I481" s="1">
        <v>1.653</v>
      </c>
      <c r="J481" s="1">
        <v>27.558099830589</v>
      </c>
      <c r="K481" t="str">
        <f t="shared" si="42"/>
        <v>没有热量缺口</v>
      </c>
      <c r="L481" s="2">
        <f t="shared" si="43"/>
        <v>1460.125</v>
      </c>
      <c r="M481" s="2">
        <f t="shared" si="44"/>
        <v>2007.671875</v>
      </c>
      <c r="N481" s="2">
        <f t="shared" si="45"/>
        <v>-277.328125</v>
      </c>
      <c r="O481" s="2">
        <f t="shared" si="46"/>
        <v>414.15</v>
      </c>
      <c r="P481" s="2">
        <f t="shared" si="47"/>
        <v>828.3</v>
      </c>
    </row>
    <row r="482" spans="1:16">
      <c r="A482" s="1">
        <v>481</v>
      </c>
      <c r="B482" s="1">
        <v>31</v>
      </c>
      <c r="C482" s="1" t="s">
        <v>18</v>
      </c>
      <c r="D482" s="1">
        <v>157</v>
      </c>
      <c r="E482" s="1">
        <v>103.4</v>
      </c>
      <c r="F482" s="1">
        <v>1618</v>
      </c>
      <c r="G482" s="1" t="s">
        <v>19</v>
      </c>
      <c r="H482" s="1">
        <v>1.2</v>
      </c>
      <c r="I482" s="1">
        <v>1.57</v>
      </c>
      <c r="J482" s="1">
        <v>41.9489634467929</v>
      </c>
      <c r="K482" t="str">
        <f t="shared" si="42"/>
        <v>缺口过小</v>
      </c>
      <c r="L482" s="2">
        <f t="shared" si="43"/>
        <v>1699.25</v>
      </c>
      <c r="M482" s="2">
        <f t="shared" si="44"/>
        <v>2039.1</v>
      </c>
      <c r="N482" s="2">
        <f t="shared" si="45"/>
        <v>421.1</v>
      </c>
      <c r="O482" s="2">
        <f t="shared" si="46"/>
        <v>568.7</v>
      </c>
      <c r="P482" s="2">
        <f t="shared" si="47"/>
        <v>1137.4</v>
      </c>
    </row>
    <row r="483" spans="1:16">
      <c r="A483" s="1">
        <v>482</v>
      </c>
      <c r="B483" s="1">
        <v>34</v>
      </c>
      <c r="C483" s="1" t="s">
        <v>18</v>
      </c>
      <c r="D483" s="1">
        <v>158</v>
      </c>
      <c r="E483" s="1">
        <v>59.4</v>
      </c>
      <c r="F483" s="1">
        <v>1813</v>
      </c>
      <c r="G483" s="1" t="s">
        <v>21</v>
      </c>
      <c r="H483" s="1">
        <v>1.725</v>
      </c>
      <c r="I483" s="1">
        <v>1.58</v>
      </c>
      <c r="J483" s="1">
        <v>23.7942637397852</v>
      </c>
      <c r="K483" t="str">
        <f t="shared" si="42"/>
        <v>缺口合适</v>
      </c>
      <c r="L483" s="2">
        <f t="shared" si="43"/>
        <v>1250.5</v>
      </c>
      <c r="M483" s="2">
        <f t="shared" si="44"/>
        <v>2157.1125</v>
      </c>
      <c r="N483" s="2">
        <f t="shared" si="45"/>
        <v>344.1125</v>
      </c>
      <c r="O483" s="2">
        <f t="shared" si="46"/>
        <v>326.7</v>
      </c>
      <c r="P483" s="2">
        <f t="shared" si="47"/>
        <v>653.4</v>
      </c>
    </row>
    <row r="484" spans="1:16">
      <c r="A484" s="1">
        <v>483</v>
      </c>
      <c r="B484" s="1">
        <v>27</v>
      </c>
      <c r="C484" s="1" t="s">
        <v>18</v>
      </c>
      <c r="D484" s="1">
        <v>157</v>
      </c>
      <c r="E484" s="1">
        <v>87.3</v>
      </c>
      <c r="F484" s="1">
        <v>1841</v>
      </c>
      <c r="G484" s="1" t="s">
        <v>20</v>
      </c>
      <c r="H484" s="1">
        <v>1.55</v>
      </c>
      <c r="I484" s="1">
        <v>1.57</v>
      </c>
      <c r="J484" s="1">
        <v>35.417258306625</v>
      </c>
      <c r="K484" t="str">
        <f t="shared" si="42"/>
        <v>缺口合适</v>
      </c>
      <c r="L484" s="2">
        <f t="shared" si="43"/>
        <v>1558.25</v>
      </c>
      <c r="M484" s="2">
        <f t="shared" si="44"/>
        <v>2415.2875</v>
      </c>
      <c r="N484" s="2">
        <f t="shared" si="45"/>
        <v>574.2875</v>
      </c>
      <c r="O484" s="2">
        <f t="shared" si="46"/>
        <v>480.15</v>
      </c>
      <c r="P484" s="2">
        <f t="shared" si="47"/>
        <v>960.3</v>
      </c>
    </row>
    <row r="485" spans="1:16">
      <c r="A485" s="1">
        <v>484</v>
      </c>
      <c r="B485" s="1">
        <v>29</v>
      </c>
      <c r="C485" s="1" t="s">
        <v>16</v>
      </c>
      <c r="D485" s="1">
        <v>177.1</v>
      </c>
      <c r="E485" s="1">
        <v>68.6</v>
      </c>
      <c r="F485" s="1">
        <v>2772</v>
      </c>
      <c r="G485" s="1" t="s">
        <v>21</v>
      </c>
      <c r="H485" s="1">
        <v>1.725</v>
      </c>
      <c r="I485" s="1">
        <v>1.771</v>
      </c>
      <c r="J485" s="1">
        <v>21.8719242606508</v>
      </c>
      <c r="K485" t="str">
        <f t="shared" si="42"/>
        <v>缺口过小</v>
      </c>
      <c r="L485" s="2">
        <f t="shared" si="43"/>
        <v>1652.875</v>
      </c>
      <c r="M485" s="2">
        <f t="shared" si="44"/>
        <v>2851.209375</v>
      </c>
      <c r="N485" s="2">
        <f t="shared" si="45"/>
        <v>79.2093750000004</v>
      </c>
      <c r="O485" s="2">
        <f t="shared" si="46"/>
        <v>377.3</v>
      </c>
      <c r="P485" s="2">
        <f t="shared" si="47"/>
        <v>754.6</v>
      </c>
    </row>
    <row r="486" spans="1:16">
      <c r="A486" s="1">
        <v>485</v>
      </c>
      <c r="B486" s="1">
        <v>27</v>
      </c>
      <c r="C486" s="1" t="s">
        <v>16</v>
      </c>
      <c r="D486" s="1">
        <v>181.2</v>
      </c>
      <c r="E486" s="1">
        <v>108.2</v>
      </c>
      <c r="F486" s="1">
        <v>862</v>
      </c>
      <c r="G486" s="1" t="s">
        <v>17</v>
      </c>
      <c r="H486" s="1">
        <v>1.375</v>
      </c>
      <c r="I486" s="1">
        <v>1.81199999999999</v>
      </c>
      <c r="J486" s="1">
        <v>32.9542076614573</v>
      </c>
      <c r="K486" t="str">
        <f t="shared" si="42"/>
        <v>缺口过大</v>
      </c>
      <c r="L486" s="2">
        <f t="shared" si="43"/>
        <v>2084.5</v>
      </c>
      <c r="M486" s="2">
        <f t="shared" si="44"/>
        <v>2866.1875</v>
      </c>
      <c r="N486" s="2">
        <f t="shared" si="45"/>
        <v>2004.1875</v>
      </c>
      <c r="O486" s="2">
        <f t="shared" si="46"/>
        <v>595.1</v>
      </c>
      <c r="P486" s="2">
        <f t="shared" si="47"/>
        <v>1190.2</v>
      </c>
    </row>
    <row r="487" spans="1:16">
      <c r="A487" s="1">
        <v>486</v>
      </c>
      <c r="B487" s="1">
        <v>33</v>
      </c>
      <c r="C487" s="1" t="s">
        <v>18</v>
      </c>
      <c r="D487" s="1">
        <v>174.3</v>
      </c>
      <c r="E487" s="1">
        <v>80.2</v>
      </c>
      <c r="F487" s="1">
        <v>2631</v>
      </c>
      <c r="G487" s="1" t="s">
        <v>21</v>
      </c>
      <c r="H487" s="1">
        <v>1.725</v>
      </c>
      <c r="I487" s="1">
        <v>1.743</v>
      </c>
      <c r="J487" s="1">
        <v>26.3985208928493</v>
      </c>
      <c r="K487" t="str">
        <f t="shared" si="42"/>
        <v>缺口过小</v>
      </c>
      <c r="L487" s="2">
        <f t="shared" si="43"/>
        <v>1565.375</v>
      </c>
      <c r="M487" s="2">
        <f t="shared" si="44"/>
        <v>2700.271875</v>
      </c>
      <c r="N487" s="2">
        <f t="shared" si="45"/>
        <v>69.2718750000004</v>
      </c>
      <c r="O487" s="2">
        <f t="shared" si="46"/>
        <v>441.1</v>
      </c>
      <c r="P487" s="2">
        <f t="shared" si="47"/>
        <v>882.2</v>
      </c>
    </row>
    <row r="488" spans="1:16">
      <c r="A488" s="1">
        <v>487</v>
      </c>
      <c r="B488" s="1">
        <v>34</v>
      </c>
      <c r="C488" s="1" t="s">
        <v>18</v>
      </c>
      <c r="D488" s="1">
        <v>172.9</v>
      </c>
      <c r="E488" s="1">
        <v>105.5</v>
      </c>
      <c r="F488" s="1">
        <v>2122</v>
      </c>
      <c r="G488" s="1" t="s">
        <v>19</v>
      </c>
      <c r="H488" s="1">
        <v>1.2</v>
      </c>
      <c r="I488" s="1">
        <v>1.729</v>
      </c>
      <c r="J488" s="1">
        <v>35.2908787964037</v>
      </c>
      <c r="K488" t="str">
        <f t="shared" si="42"/>
        <v>缺口过小</v>
      </c>
      <c r="L488" s="2">
        <f t="shared" si="43"/>
        <v>1804.625</v>
      </c>
      <c r="M488" s="2">
        <f t="shared" si="44"/>
        <v>2165.55</v>
      </c>
      <c r="N488" s="2">
        <f t="shared" si="45"/>
        <v>43.5499999999997</v>
      </c>
      <c r="O488" s="2">
        <f t="shared" si="46"/>
        <v>580.25</v>
      </c>
      <c r="P488" s="2">
        <f t="shared" si="47"/>
        <v>1160.5</v>
      </c>
    </row>
    <row r="489" spans="1:16">
      <c r="A489" s="1">
        <v>488</v>
      </c>
      <c r="B489" s="1">
        <v>28</v>
      </c>
      <c r="C489" s="1" t="s">
        <v>16</v>
      </c>
      <c r="D489" s="1">
        <v>182.5</v>
      </c>
      <c r="E489" s="1">
        <v>112.9</v>
      </c>
      <c r="F489" s="1">
        <v>3307</v>
      </c>
      <c r="G489" s="1" t="s">
        <v>21</v>
      </c>
      <c r="H489" s="1">
        <v>1.725</v>
      </c>
      <c r="I489" s="1">
        <v>1.825</v>
      </c>
      <c r="J489" s="1">
        <v>33.897541752674</v>
      </c>
      <c r="K489" t="str">
        <f t="shared" si="42"/>
        <v>缺口过小</v>
      </c>
      <c r="L489" s="2">
        <f t="shared" si="43"/>
        <v>2134.625</v>
      </c>
      <c r="M489" s="2">
        <f t="shared" si="44"/>
        <v>3682.228125</v>
      </c>
      <c r="N489" s="2">
        <f t="shared" si="45"/>
        <v>375.228125</v>
      </c>
      <c r="O489" s="2">
        <f t="shared" si="46"/>
        <v>620.95</v>
      </c>
      <c r="P489" s="2">
        <f t="shared" si="47"/>
        <v>1241.9</v>
      </c>
    </row>
    <row r="490" spans="1:16">
      <c r="A490" s="1">
        <v>489</v>
      </c>
      <c r="B490" s="1">
        <v>28</v>
      </c>
      <c r="C490" s="1" t="s">
        <v>18</v>
      </c>
      <c r="D490" s="1">
        <v>159.5</v>
      </c>
      <c r="E490" s="1">
        <v>91.7</v>
      </c>
      <c r="F490" s="1">
        <v>1751</v>
      </c>
      <c r="G490" s="1" t="s">
        <v>19</v>
      </c>
      <c r="H490" s="1">
        <v>1.2</v>
      </c>
      <c r="I490" s="1">
        <v>1.595</v>
      </c>
      <c r="J490" s="1">
        <v>36.0452432660842</v>
      </c>
      <c r="K490" t="str">
        <f t="shared" si="42"/>
        <v>缺口过小</v>
      </c>
      <c r="L490" s="2">
        <f t="shared" si="43"/>
        <v>1612.875</v>
      </c>
      <c r="M490" s="2">
        <f t="shared" si="44"/>
        <v>1935.45</v>
      </c>
      <c r="N490" s="2">
        <f t="shared" si="45"/>
        <v>184.45</v>
      </c>
      <c r="O490" s="2">
        <f t="shared" si="46"/>
        <v>504.35</v>
      </c>
      <c r="P490" s="2">
        <f t="shared" si="47"/>
        <v>1008.7</v>
      </c>
    </row>
    <row r="491" spans="1:16">
      <c r="A491" s="1">
        <v>490</v>
      </c>
      <c r="B491" s="1">
        <v>30</v>
      </c>
      <c r="C491" s="1" t="s">
        <v>18</v>
      </c>
      <c r="D491" s="1">
        <v>161.1</v>
      </c>
      <c r="E491" s="1">
        <v>68.4</v>
      </c>
      <c r="F491" s="1">
        <v>1812</v>
      </c>
      <c r="G491" s="1" t="s">
        <v>21</v>
      </c>
      <c r="H491" s="1">
        <v>1.725</v>
      </c>
      <c r="I491" s="1">
        <v>1.611</v>
      </c>
      <c r="J491" s="1">
        <v>26.3551213896084</v>
      </c>
      <c r="K491" t="str">
        <f t="shared" si="42"/>
        <v>缺口合适</v>
      </c>
      <c r="L491" s="2">
        <f t="shared" si="43"/>
        <v>1379.875</v>
      </c>
      <c r="M491" s="2">
        <f t="shared" si="44"/>
        <v>2380.284375</v>
      </c>
      <c r="N491" s="2">
        <f t="shared" si="45"/>
        <v>568.284375</v>
      </c>
      <c r="O491" s="2">
        <f t="shared" si="46"/>
        <v>376.2</v>
      </c>
      <c r="P491" s="2">
        <f t="shared" si="47"/>
        <v>752.4</v>
      </c>
    </row>
    <row r="492" spans="1:16">
      <c r="A492" s="1">
        <v>491</v>
      </c>
      <c r="B492" s="1">
        <v>20</v>
      </c>
      <c r="C492" s="1" t="s">
        <v>16</v>
      </c>
      <c r="D492" s="1">
        <v>175.8</v>
      </c>
      <c r="E492" s="1">
        <v>117.6</v>
      </c>
      <c r="F492" s="1">
        <v>2157</v>
      </c>
      <c r="G492" s="1" t="s">
        <v>17</v>
      </c>
      <c r="H492" s="1">
        <v>1.375</v>
      </c>
      <c r="I492" s="1">
        <v>1.758</v>
      </c>
      <c r="J492" s="1">
        <v>38.0513071400559</v>
      </c>
      <c r="K492" t="str">
        <f t="shared" si="42"/>
        <v>缺口合适</v>
      </c>
      <c r="L492" s="2">
        <f t="shared" si="43"/>
        <v>2179.75</v>
      </c>
      <c r="M492" s="2">
        <f t="shared" si="44"/>
        <v>2997.15625</v>
      </c>
      <c r="N492" s="2">
        <f t="shared" si="45"/>
        <v>840.15625</v>
      </c>
      <c r="O492" s="2">
        <f t="shared" si="46"/>
        <v>646.8</v>
      </c>
      <c r="P492" s="2">
        <f t="shared" si="47"/>
        <v>1293.6</v>
      </c>
    </row>
    <row r="493" spans="1:16">
      <c r="A493" s="1">
        <v>492</v>
      </c>
      <c r="B493" s="1">
        <v>35</v>
      </c>
      <c r="C493" s="1" t="s">
        <v>18</v>
      </c>
      <c r="D493" s="1">
        <v>168.9</v>
      </c>
      <c r="E493" s="1">
        <v>57.1</v>
      </c>
      <c r="F493" s="1">
        <v>888</v>
      </c>
      <c r="G493" s="1" t="s">
        <v>17</v>
      </c>
      <c r="H493" s="1">
        <v>1.375</v>
      </c>
      <c r="I493" s="1">
        <v>1.689</v>
      </c>
      <c r="J493" s="1">
        <v>20.0159777279306</v>
      </c>
      <c r="K493" t="str">
        <f t="shared" si="42"/>
        <v>缺口过大</v>
      </c>
      <c r="L493" s="2">
        <f t="shared" si="43"/>
        <v>1290.625</v>
      </c>
      <c r="M493" s="2">
        <f t="shared" si="44"/>
        <v>1774.609375</v>
      </c>
      <c r="N493" s="2">
        <f t="shared" si="45"/>
        <v>886.609375</v>
      </c>
      <c r="O493" s="2">
        <f t="shared" si="46"/>
        <v>314.05</v>
      </c>
      <c r="P493" s="2">
        <f t="shared" si="47"/>
        <v>628.1</v>
      </c>
    </row>
    <row r="494" spans="1:16">
      <c r="A494" s="1">
        <v>493</v>
      </c>
      <c r="B494" s="1">
        <v>27</v>
      </c>
      <c r="C494" s="1" t="s">
        <v>16</v>
      </c>
      <c r="D494" s="1">
        <v>169.7</v>
      </c>
      <c r="E494" s="1">
        <v>74.4</v>
      </c>
      <c r="F494" s="1">
        <v>4135</v>
      </c>
      <c r="G494" s="1" t="s">
        <v>20</v>
      </c>
      <c r="H494" s="1">
        <v>1.55</v>
      </c>
      <c r="I494" s="1">
        <v>1.69699999999999</v>
      </c>
      <c r="J494" s="1">
        <v>25.8350466992776</v>
      </c>
      <c r="K494" t="str">
        <f t="shared" si="42"/>
        <v>没有热量缺口</v>
      </c>
      <c r="L494" s="2">
        <f t="shared" si="43"/>
        <v>1674.625</v>
      </c>
      <c r="M494" s="2">
        <f t="shared" si="44"/>
        <v>2595.66875</v>
      </c>
      <c r="N494" s="2">
        <f t="shared" si="45"/>
        <v>-1539.33125</v>
      </c>
      <c r="O494" s="2">
        <f t="shared" si="46"/>
        <v>409.2</v>
      </c>
      <c r="P494" s="2">
        <f t="shared" si="47"/>
        <v>818.4</v>
      </c>
    </row>
    <row r="495" spans="1:16">
      <c r="A495" s="1">
        <v>494</v>
      </c>
      <c r="B495" s="1">
        <v>34</v>
      </c>
      <c r="C495" s="1" t="s">
        <v>16</v>
      </c>
      <c r="D495" s="1">
        <v>172.9</v>
      </c>
      <c r="E495" s="1">
        <v>82.6</v>
      </c>
      <c r="F495" s="1">
        <v>998</v>
      </c>
      <c r="G495" s="1" t="s">
        <v>21</v>
      </c>
      <c r="H495" s="1">
        <v>1.725</v>
      </c>
      <c r="I495" s="1">
        <v>1.729</v>
      </c>
      <c r="J495" s="1">
        <v>27.6305837780374</v>
      </c>
      <c r="K495" t="str">
        <f t="shared" si="42"/>
        <v>缺口过大</v>
      </c>
      <c r="L495" s="2">
        <f t="shared" si="43"/>
        <v>1741.625</v>
      </c>
      <c r="M495" s="2">
        <f t="shared" si="44"/>
        <v>3004.303125</v>
      </c>
      <c r="N495" s="2">
        <f t="shared" si="45"/>
        <v>2006.303125</v>
      </c>
      <c r="O495" s="2">
        <f t="shared" si="46"/>
        <v>454.3</v>
      </c>
      <c r="P495" s="2">
        <f t="shared" si="47"/>
        <v>908.6</v>
      </c>
    </row>
    <row r="496" spans="1:16">
      <c r="A496" s="1">
        <v>495</v>
      </c>
      <c r="B496" s="1">
        <v>32</v>
      </c>
      <c r="C496" s="1" t="s">
        <v>18</v>
      </c>
      <c r="D496" s="1">
        <v>161.9</v>
      </c>
      <c r="E496" s="1">
        <v>60.1</v>
      </c>
      <c r="F496" s="1">
        <v>1010</v>
      </c>
      <c r="G496" s="1" t="s">
        <v>21</v>
      </c>
      <c r="H496" s="1">
        <v>1.725</v>
      </c>
      <c r="I496" s="1">
        <v>1.619</v>
      </c>
      <c r="J496" s="1">
        <v>22.9287708767221</v>
      </c>
      <c r="K496" t="str">
        <f t="shared" si="42"/>
        <v>缺口过大</v>
      </c>
      <c r="L496" s="2">
        <f t="shared" si="43"/>
        <v>1291.875</v>
      </c>
      <c r="M496" s="2">
        <f t="shared" si="44"/>
        <v>2228.484375</v>
      </c>
      <c r="N496" s="2">
        <f t="shared" si="45"/>
        <v>1218.484375</v>
      </c>
      <c r="O496" s="2">
        <f t="shared" si="46"/>
        <v>330.55</v>
      </c>
      <c r="P496" s="2">
        <f t="shared" si="47"/>
        <v>661.1</v>
      </c>
    </row>
    <row r="497" spans="1:16">
      <c r="A497" s="1">
        <v>496</v>
      </c>
      <c r="B497" s="1">
        <v>33</v>
      </c>
      <c r="C497" s="1" t="s">
        <v>18</v>
      </c>
      <c r="D497" s="1">
        <v>169</v>
      </c>
      <c r="E497" s="1">
        <v>91.1</v>
      </c>
      <c r="F497" s="1">
        <v>1745</v>
      </c>
      <c r="G497" s="1" t="s">
        <v>20</v>
      </c>
      <c r="H497" s="1">
        <v>1.55</v>
      </c>
      <c r="I497" s="1">
        <v>1.69</v>
      </c>
      <c r="J497" s="1">
        <v>31.8966422744301</v>
      </c>
      <c r="K497" t="str">
        <f t="shared" si="42"/>
        <v>缺口合适</v>
      </c>
      <c r="L497" s="2">
        <f t="shared" si="43"/>
        <v>1641.25</v>
      </c>
      <c r="M497" s="2">
        <f t="shared" si="44"/>
        <v>2543.9375</v>
      </c>
      <c r="N497" s="2">
        <f t="shared" si="45"/>
        <v>798.9375</v>
      </c>
      <c r="O497" s="2">
        <f t="shared" si="46"/>
        <v>501.05</v>
      </c>
      <c r="P497" s="2">
        <f t="shared" si="47"/>
        <v>1002.1</v>
      </c>
    </row>
    <row r="498" spans="1:16">
      <c r="A498" s="1">
        <v>497</v>
      </c>
      <c r="B498" s="1">
        <v>32</v>
      </c>
      <c r="C498" s="1" t="s">
        <v>16</v>
      </c>
      <c r="D498" s="1">
        <v>177</v>
      </c>
      <c r="E498" s="1">
        <v>61.2</v>
      </c>
      <c r="F498" s="1">
        <v>1326</v>
      </c>
      <c r="G498" s="1" t="s">
        <v>19</v>
      </c>
      <c r="H498" s="1">
        <v>1.2</v>
      </c>
      <c r="I498" s="1">
        <v>1.77</v>
      </c>
      <c r="J498" s="1">
        <v>19.5346164895145</v>
      </c>
      <c r="K498" t="str">
        <f t="shared" si="42"/>
        <v>缺口合适</v>
      </c>
      <c r="L498" s="2">
        <f t="shared" si="43"/>
        <v>1563.25</v>
      </c>
      <c r="M498" s="2">
        <f t="shared" si="44"/>
        <v>1875.9</v>
      </c>
      <c r="N498" s="2">
        <f t="shared" si="45"/>
        <v>549.9</v>
      </c>
      <c r="O498" s="2">
        <f t="shared" si="46"/>
        <v>336.6</v>
      </c>
      <c r="P498" s="2">
        <f t="shared" si="47"/>
        <v>673.2</v>
      </c>
    </row>
    <row r="499" spans="1:16">
      <c r="A499" s="1">
        <v>498</v>
      </c>
      <c r="B499" s="1">
        <v>23</v>
      </c>
      <c r="C499" s="1" t="s">
        <v>18</v>
      </c>
      <c r="D499" s="1">
        <v>158.5</v>
      </c>
      <c r="E499" s="1">
        <v>97.9</v>
      </c>
      <c r="F499" s="1">
        <v>2262</v>
      </c>
      <c r="G499" s="1" t="s">
        <v>17</v>
      </c>
      <c r="H499" s="1">
        <v>1.375</v>
      </c>
      <c r="I499" s="1">
        <v>1.585</v>
      </c>
      <c r="J499" s="1">
        <v>38.9694394411328</v>
      </c>
      <c r="K499" t="str">
        <f t="shared" si="42"/>
        <v>缺口过小</v>
      </c>
      <c r="L499" s="2">
        <f t="shared" si="43"/>
        <v>1693.625</v>
      </c>
      <c r="M499" s="2">
        <f t="shared" si="44"/>
        <v>2328.734375</v>
      </c>
      <c r="N499" s="2">
        <f t="shared" si="45"/>
        <v>66.734375</v>
      </c>
      <c r="O499" s="2">
        <f t="shared" si="46"/>
        <v>538.45</v>
      </c>
      <c r="P499" s="2">
        <f t="shared" si="47"/>
        <v>1076.9</v>
      </c>
    </row>
    <row r="500" spans="1:16">
      <c r="A500" s="1">
        <v>499</v>
      </c>
      <c r="B500" s="1">
        <v>24</v>
      </c>
      <c r="C500" s="1" t="s">
        <v>16</v>
      </c>
      <c r="D500" s="1">
        <v>179.5</v>
      </c>
      <c r="E500" s="1">
        <v>64.3</v>
      </c>
      <c r="F500" s="1">
        <v>1979</v>
      </c>
      <c r="G500" s="1" t="s">
        <v>17</v>
      </c>
      <c r="H500" s="1">
        <v>1.375</v>
      </c>
      <c r="I500" s="1">
        <v>1.795</v>
      </c>
      <c r="J500" s="1">
        <v>19.956393882729</v>
      </c>
      <c r="K500" t="str">
        <f t="shared" si="42"/>
        <v>缺口过小</v>
      </c>
      <c r="L500" s="2">
        <f t="shared" si="43"/>
        <v>1649.875</v>
      </c>
      <c r="M500" s="2">
        <f t="shared" si="44"/>
        <v>2268.578125</v>
      </c>
      <c r="N500" s="2">
        <f t="shared" si="45"/>
        <v>289.578125</v>
      </c>
      <c r="O500" s="2">
        <f t="shared" si="46"/>
        <v>353.65</v>
      </c>
      <c r="P500" s="2">
        <f t="shared" si="47"/>
        <v>707.3</v>
      </c>
    </row>
    <row r="501" spans="1:16">
      <c r="A501" s="1">
        <v>500</v>
      </c>
      <c r="B501" s="1">
        <v>33</v>
      </c>
      <c r="C501" s="1" t="s">
        <v>18</v>
      </c>
      <c r="D501" s="1">
        <v>168.7</v>
      </c>
      <c r="E501" s="1">
        <v>61.1</v>
      </c>
      <c r="F501" s="1">
        <v>1850</v>
      </c>
      <c r="G501" s="1" t="s">
        <v>17</v>
      </c>
      <c r="H501" s="1">
        <v>1.375</v>
      </c>
      <c r="I501" s="1">
        <v>1.68699999999999</v>
      </c>
      <c r="J501" s="1">
        <v>21.4689618896059</v>
      </c>
      <c r="K501" t="str">
        <f t="shared" si="42"/>
        <v>没有热量缺口</v>
      </c>
      <c r="L501" s="2">
        <f t="shared" si="43"/>
        <v>1339.375</v>
      </c>
      <c r="M501" s="2">
        <f t="shared" si="44"/>
        <v>1841.640625</v>
      </c>
      <c r="N501" s="2">
        <f t="shared" si="45"/>
        <v>-8.359375</v>
      </c>
      <c r="O501" s="2">
        <f t="shared" si="46"/>
        <v>336.05</v>
      </c>
      <c r="P501" s="2">
        <f t="shared" si="47"/>
        <v>672.1</v>
      </c>
    </row>
    <row r="502" spans="1:16">
      <c r="A502" s="1">
        <v>501</v>
      </c>
      <c r="B502" s="1">
        <v>32</v>
      </c>
      <c r="C502" s="1" t="s">
        <v>16</v>
      </c>
      <c r="D502" s="1">
        <v>178.6</v>
      </c>
      <c r="E502" s="1">
        <v>83.7</v>
      </c>
      <c r="F502" s="1">
        <v>1702</v>
      </c>
      <c r="G502" s="1" t="s">
        <v>17</v>
      </c>
      <c r="H502" s="1">
        <v>1.375</v>
      </c>
      <c r="I502" s="1">
        <v>1.786</v>
      </c>
      <c r="J502" s="1">
        <v>26.239922553041</v>
      </c>
      <c r="K502" t="str">
        <f t="shared" si="42"/>
        <v>缺口合适</v>
      </c>
      <c r="L502" s="2">
        <f t="shared" si="43"/>
        <v>1798.25</v>
      </c>
      <c r="M502" s="2">
        <f t="shared" si="44"/>
        <v>2472.59375</v>
      </c>
      <c r="N502" s="2">
        <f t="shared" si="45"/>
        <v>770.59375</v>
      </c>
      <c r="O502" s="2">
        <f t="shared" si="46"/>
        <v>460.35</v>
      </c>
      <c r="P502" s="2">
        <f t="shared" si="47"/>
        <v>920.7</v>
      </c>
    </row>
    <row r="503" spans="1:16">
      <c r="A503" s="1">
        <v>502</v>
      </c>
      <c r="B503" s="1">
        <v>34</v>
      </c>
      <c r="C503" s="1" t="s">
        <v>18</v>
      </c>
      <c r="D503" s="1">
        <v>157.4</v>
      </c>
      <c r="E503" s="1">
        <v>113.2</v>
      </c>
      <c r="F503" s="1">
        <v>446</v>
      </c>
      <c r="G503" s="1" t="s">
        <v>17</v>
      </c>
      <c r="H503" s="1">
        <v>1.375</v>
      </c>
      <c r="I503" s="1">
        <v>1.574</v>
      </c>
      <c r="J503" s="1">
        <v>45.691663612483</v>
      </c>
      <c r="K503" t="str">
        <f t="shared" si="42"/>
        <v>缺口过大</v>
      </c>
      <c r="L503" s="2">
        <f t="shared" si="43"/>
        <v>1784.75</v>
      </c>
      <c r="M503" s="2">
        <f t="shared" si="44"/>
        <v>2454.03125</v>
      </c>
      <c r="N503" s="2">
        <f t="shared" si="45"/>
        <v>2008.03125</v>
      </c>
      <c r="O503" s="2">
        <f t="shared" si="46"/>
        <v>622.6</v>
      </c>
      <c r="P503" s="2">
        <f t="shared" si="47"/>
        <v>1245.2</v>
      </c>
    </row>
    <row r="504" spans="1:16">
      <c r="A504" s="1">
        <v>503</v>
      </c>
      <c r="B504" s="1">
        <v>29</v>
      </c>
      <c r="C504" s="1" t="s">
        <v>18</v>
      </c>
      <c r="D504" s="1">
        <v>169.1</v>
      </c>
      <c r="E504" s="1">
        <v>94.5</v>
      </c>
      <c r="F504" s="1">
        <v>2810</v>
      </c>
      <c r="G504" s="1" t="s">
        <v>20</v>
      </c>
      <c r="H504" s="1">
        <v>1.55</v>
      </c>
      <c r="I504" s="1">
        <v>1.69099999999999</v>
      </c>
      <c r="J504" s="1">
        <v>33.0479552058572</v>
      </c>
      <c r="K504" t="str">
        <f t="shared" si="42"/>
        <v>没有热量缺口</v>
      </c>
      <c r="L504" s="2">
        <f t="shared" si="43"/>
        <v>1695.875</v>
      </c>
      <c r="M504" s="2">
        <f t="shared" si="44"/>
        <v>2628.60625</v>
      </c>
      <c r="N504" s="2">
        <f t="shared" si="45"/>
        <v>-181.39375</v>
      </c>
      <c r="O504" s="2">
        <f t="shared" si="46"/>
        <v>519.75</v>
      </c>
      <c r="P504" s="2">
        <f t="shared" si="47"/>
        <v>1039.5</v>
      </c>
    </row>
    <row r="505" spans="1:16">
      <c r="A505" s="1">
        <v>504</v>
      </c>
      <c r="B505" s="1">
        <v>35</v>
      </c>
      <c r="C505" s="1" t="s">
        <v>16</v>
      </c>
      <c r="D505" s="1">
        <v>187.1</v>
      </c>
      <c r="E505" s="1">
        <v>83.3</v>
      </c>
      <c r="F505" s="1">
        <v>2236</v>
      </c>
      <c r="G505" s="1" t="s">
        <v>21</v>
      </c>
      <c r="H505" s="1">
        <v>1.725</v>
      </c>
      <c r="I505" s="1">
        <v>1.871</v>
      </c>
      <c r="J505" s="1">
        <v>23.7956419981369</v>
      </c>
      <c r="K505" t="str">
        <f t="shared" si="42"/>
        <v>缺口过大</v>
      </c>
      <c r="L505" s="2">
        <f t="shared" si="43"/>
        <v>1832.375</v>
      </c>
      <c r="M505" s="2">
        <f t="shared" si="44"/>
        <v>3160.846875</v>
      </c>
      <c r="N505" s="2">
        <f t="shared" si="45"/>
        <v>924.846875</v>
      </c>
      <c r="O505" s="2">
        <f t="shared" si="46"/>
        <v>458.15</v>
      </c>
      <c r="P505" s="2">
        <f t="shared" si="47"/>
        <v>916.3</v>
      </c>
    </row>
    <row r="506" spans="1:16">
      <c r="A506" s="1">
        <v>505</v>
      </c>
      <c r="B506" s="1">
        <v>34</v>
      </c>
      <c r="C506" s="1" t="s">
        <v>16</v>
      </c>
      <c r="D506" s="1">
        <v>174.9</v>
      </c>
      <c r="E506" s="1">
        <v>79.6</v>
      </c>
      <c r="F506" s="1">
        <v>2428</v>
      </c>
      <c r="G506" s="1" t="s">
        <v>21</v>
      </c>
      <c r="H506" s="1">
        <v>1.725</v>
      </c>
      <c r="I506" s="1">
        <v>1.749</v>
      </c>
      <c r="J506" s="1">
        <v>26.0215671717662</v>
      </c>
      <c r="K506" t="str">
        <f t="shared" si="42"/>
        <v>缺口合适</v>
      </c>
      <c r="L506" s="2">
        <f t="shared" si="43"/>
        <v>1724.125</v>
      </c>
      <c r="M506" s="2">
        <f t="shared" si="44"/>
        <v>2974.115625</v>
      </c>
      <c r="N506" s="2">
        <f t="shared" si="45"/>
        <v>546.115625</v>
      </c>
      <c r="O506" s="2">
        <f t="shared" si="46"/>
        <v>437.8</v>
      </c>
      <c r="P506" s="2">
        <f t="shared" si="47"/>
        <v>875.6</v>
      </c>
    </row>
    <row r="507" spans="1:16">
      <c r="A507" s="1">
        <v>506</v>
      </c>
      <c r="B507" s="1">
        <v>35</v>
      </c>
      <c r="C507" s="1" t="s">
        <v>18</v>
      </c>
      <c r="D507" s="1">
        <v>164.6</v>
      </c>
      <c r="E507" s="1">
        <v>56.6</v>
      </c>
      <c r="F507" s="1">
        <v>1674</v>
      </c>
      <c r="G507" s="1" t="s">
        <v>20</v>
      </c>
      <c r="H507" s="1">
        <v>1.55</v>
      </c>
      <c r="I507" s="1">
        <v>1.646</v>
      </c>
      <c r="J507" s="1">
        <v>20.8908816837903</v>
      </c>
      <c r="K507" t="str">
        <f t="shared" si="42"/>
        <v>缺口过小</v>
      </c>
      <c r="L507" s="2">
        <f t="shared" si="43"/>
        <v>1258.75</v>
      </c>
      <c r="M507" s="2">
        <f t="shared" si="44"/>
        <v>1951.0625</v>
      </c>
      <c r="N507" s="2">
        <f t="shared" si="45"/>
        <v>277.0625</v>
      </c>
      <c r="O507" s="2">
        <f t="shared" si="46"/>
        <v>311.3</v>
      </c>
      <c r="P507" s="2">
        <f t="shared" si="47"/>
        <v>622.6</v>
      </c>
    </row>
    <row r="508" spans="1:16">
      <c r="A508" s="1">
        <v>507</v>
      </c>
      <c r="B508" s="1">
        <v>34</v>
      </c>
      <c r="C508" s="1" t="s">
        <v>18</v>
      </c>
      <c r="D508" s="1">
        <v>160.4</v>
      </c>
      <c r="E508" s="1">
        <v>125.8</v>
      </c>
      <c r="F508" s="1">
        <v>1493</v>
      </c>
      <c r="G508" s="1" t="s">
        <v>21</v>
      </c>
      <c r="H508" s="1">
        <v>1.725</v>
      </c>
      <c r="I508" s="1">
        <v>1.604</v>
      </c>
      <c r="J508" s="1">
        <v>48.8958401999987</v>
      </c>
      <c r="K508" t="str">
        <f t="shared" si="42"/>
        <v>缺口过大</v>
      </c>
      <c r="L508" s="2">
        <f t="shared" si="43"/>
        <v>1929.5</v>
      </c>
      <c r="M508" s="2">
        <f t="shared" si="44"/>
        <v>3328.3875</v>
      </c>
      <c r="N508" s="2">
        <f t="shared" si="45"/>
        <v>1835.3875</v>
      </c>
      <c r="O508" s="2">
        <f t="shared" si="46"/>
        <v>691.9</v>
      </c>
      <c r="P508" s="2">
        <f t="shared" si="47"/>
        <v>1383.8</v>
      </c>
    </row>
    <row r="509" spans="1:16">
      <c r="A509" s="1">
        <v>508</v>
      </c>
      <c r="B509" s="1">
        <v>34</v>
      </c>
      <c r="C509" s="1" t="s">
        <v>16</v>
      </c>
      <c r="D509" s="1">
        <v>176.1</v>
      </c>
      <c r="E509" s="1">
        <v>51.2</v>
      </c>
      <c r="F509" s="1">
        <v>2954</v>
      </c>
      <c r="G509" s="1" t="s">
        <v>17</v>
      </c>
      <c r="H509" s="1">
        <v>1.375</v>
      </c>
      <c r="I509" s="1">
        <v>1.761</v>
      </c>
      <c r="J509" s="1">
        <v>16.5101587458212</v>
      </c>
      <c r="K509" t="str">
        <f t="shared" si="42"/>
        <v>没有热量缺口</v>
      </c>
      <c r="L509" s="2">
        <f t="shared" si="43"/>
        <v>1447.625</v>
      </c>
      <c r="M509" s="2">
        <f t="shared" si="44"/>
        <v>1990.484375</v>
      </c>
      <c r="N509" s="2">
        <f t="shared" si="45"/>
        <v>-963.515625</v>
      </c>
      <c r="O509" s="2">
        <f t="shared" si="46"/>
        <v>281.6</v>
      </c>
      <c r="P509" s="2">
        <f t="shared" si="47"/>
        <v>563.2</v>
      </c>
    </row>
    <row r="510" spans="1:16">
      <c r="A510" s="1">
        <v>509</v>
      </c>
      <c r="B510" s="1">
        <v>32</v>
      </c>
      <c r="C510" s="1" t="s">
        <v>16</v>
      </c>
      <c r="D510" s="1">
        <v>177.2</v>
      </c>
      <c r="E510" s="1">
        <v>85.4</v>
      </c>
      <c r="F510" s="1">
        <v>2870</v>
      </c>
      <c r="G510" s="1" t="s">
        <v>21</v>
      </c>
      <c r="H510" s="1">
        <v>1.725</v>
      </c>
      <c r="I510" s="1">
        <v>1.77199999999999</v>
      </c>
      <c r="J510" s="1">
        <v>27.1975908157493</v>
      </c>
      <c r="K510" t="str">
        <f t="shared" si="42"/>
        <v>缺口过小</v>
      </c>
      <c r="L510" s="2">
        <f t="shared" si="43"/>
        <v>1806.5</v>
      </c>
      <c r="M510" s="2">
        <f t="shared" si="44"/>
        <v>3116.2125</v>
      </c>
      <c r="N510" s="2">
        <f t="shared" si="45"/>
        <v>246.2125</v>
      </c>
      <c r="O510" s="2">
        <f t="shared" si="46"/>
        <v>469.7</v>
      </c>
      <c r="P510" s="2">
        <f t="shared" si="47"/>
        <v>939.4</v>
      </c>
    </row>
    <row r="511" spans="1:16">
      <c r="A511" s="1">
        <v>510</v>
      </c>
      <c r="B511" s="1">
        <v>35</v>
      </c>
      <c r="C511" s="1" t="s">
        <v>16</v>
      </c>
      <c r="D511" s="1">
        <v>166.7</v>
      </c>
      <c r="E511" s="1">
        <v>46.3</v>
      </c>
      <c r="F511" s="1">
        <v>1439</v>
      </c>
      <c r="G511" s="1" t="s">
        <v>20</v>
      </c>
      <c r="H511" s="1">
        <v>1.55</v>
      </c>
      <c r="I511" s="1">
        <v>1.66699999999999</v>
      </c>
      <c r="J511" s="1">
        <v>16.6613347996267</v>
      </c>
      <c r="K511" t="str">
        <f t="shared" si="42"/>
        <v>缺口过大</v>
      </c>
      <c r="L511" s="2">
        <f t="shared" si="43"/>
        <v>1334.875</v>
      </c>
      <c r="M511" s="2">
        <f t="shared" si="44"/>
        <v>2069.05625</v>
      </c>
      <c r="N511" s="2">
        <f t="shared" si="45"/>
        <v>630.05625</v>
      </c>
      <c r="O511" s="2">
        <f t="shared" si="46"/>
        <v>254.65</v>
      </c>
      <c r="P511" s="2">
        <f t="shared" si="47"/>
        <v>509.3</v>
      </c>
    </row>
    <row r="512" spans="1:16">
      <c r="A512" s="1">
        <v>511</v>
      </c>
      <c r="B512" s="1">
        <v>26</v>
      </c>
      <c r="C512" s="1" t="s">
        <v>18</v>
      </c>
      <c r="D512" s="1">
        <v>174.3</v>
      </c>
      <c r="E512" s="1">
        <v>79.2</v>
      </c>
      <c r="F512" s="1">
        <v>2660</v>
      </c>
      <c r="G512" s="1" t="s">
        <v>20</v>
      </c>
      <c r="H512" s="1">
        <v>1.55</v>
      </c>
      <c r="I512" s="1">
        <v>1.743</v>
      </c>
      <c r="J512" s="1">
        <v>26.0693622782252</v>
      </c>
      <c r="K512" t="str">
        <f t="shared" si="42"/>
        <v>没有热量缺口</v>
      </c>
      <c r="L512" s="2">
        <f t="shared" si="43"/>
        <v>1590.375</v>
      </c>
      <c r="M512" s="2">
        <f t="shared" si="44"/>
        <v>2465.08125</v>
      </c>
      <c r="N512" s="2">
        <f t="shared" si="45"/>
        <v>-194.91875</v>
      </c>
      <c r="O512" s="2">
        <f t="shared" si="46"/>
        <v>435.6</v>
      </c>
      <c r="P512" s="2">
        <f t="shared" si="47"/>
        <v>871.2</v>
      </c>
    </row>
    <row r="513" spans="1:16">
      <c r="A513" s="1">
        <v>512</v>
      </c>
      <c r="B513" s="1">
        <v>32</v>
      </c>
      <c r="C513" s="1" t="s">
        <v>16</v>
      </c>
      <c r="D513" s="1">
        <v>173</v>
      </c>
      <c r="E513" s="1">
        <v>97.4</v>
      </c>
      <c r="F513" s="1">
        <v>3161</v>
      </c>
      <c r="G513" s="1" t="s">
        <v>19</v>
      </c>
      <c r="H513" s="1">
        <v>1.2</v>
      </c>
      <c r="I513" s="1">
        <v>1.73</v>
      </c>
      <c r="J513" s="1">
        <v>32.5436867252497</v>
      </c>
      <c r="K513" t="str">
        <f t="shared" si="42"/>
        <v>没有热量缺口</v>
      </c>
      <c r="L513" s="2">
        <f t="shared" si="43"/>
        <v>1900.25</v>
      </c>
      <c r="M513" s="2">
        <f t="shared" si="44"/>
        <v>2280.3</v>
      </c>
      <c r="N513" s="2">
        <f t="shared" si="45"/>
        <v>-880.7</v>
      </c>
      <c r="O513" s="2">
        <f t="shared" si="46"/>
        <v>535.7</v>
      </c>
      <c r="P513" s="2">
        <f t="shared" si="47"/>
        <v>1071.4</v>
      </c>
    </row>
    <row r="514" spans="1:16">
      <c r="A514" s="1">
        <v>513</v>
      </c>
      <c r="B514" s="1">
        <v>35</v>
      </c>
      <c r="C514" s="1" t="s">
        <v>18</v>
      </c>
      <c r="D514" s="1">
        <v>147.9</v>
      </c>
      <c r="E514" s="1">
        <v>68.4</v>
      </c>
      <c r="F514" s="1">
        <v>3177</v>
      </c>
      <c r="G514" s="1" t="s">
        <v>17</v>
      </c>
      <c r="H514" s="1">
        <v>1.375</v>
      </c>
      <c r="I514" s="1">
        <v>1.479</v>
      </c>
      <c r="J514" s="1">
        <v>31.2694148093594</v>
      </c>
      <c r="K514" t="str">
        <f t="shared" ref="K514:K577" si="48">IF(N514&lt;=0,"没有热量缺口",IF(N514&lt;O514,"缺口过小",IF(N514&lt;=P514,"缺口合适","缺口过大")))</f>
        <v>没有热量缺口</v>
      </c>
      <c r="L514" s="2">
        <f t="shared" ref="L514:L577" si="49">IF(C514="male",10*E514+6.25*D514-5*B514+5,10*E514+6.25*D514-5*B514-161)</f>
        <v>1272.375</v>
      </c>
      <c r="M514" s="2">
        <f t="shared" ref="M514:M577" si="50">L514*H514</f>
        <v>1749.515625</v>
      </c>
      <c r="N514" s="2">
        <f t="shared" ref="N514:N577" si="51">M514-F514</f>
        <v>-1427.484375</v>
      </c>
      <c r="O514" s="2">
        <f t="shared" ref="O514:O577" si="52">E514*0.005*7700/7</f>
        <v>376.2</v>
      </c>
      <c r="P514" s="2">
        <f t="shared" ref="P514:P577" si="53">E514*0.01*7700/7</f>
        <v>752.4</v>
      </c>
    </row>
    <row r="515" spans="1:16">
      <c r="A515" s="1">
        <v>514</v>
      </c>
      <c r="B515" s="1">
        <v>21</v>
      </c>
      <c r="C515" s="1" t="s">
        <v>18</v>
      </c>
      <c r="D515" s="1">
        <v>176</v>
      </c>
      <c r="E515" s="1">
        <v>73.6</v>
      </c>
      <c r="F515" s="1">
        <v>1958</v>
      </c>
      <c r="G515" s="1" t="s">
        <v>17</v>
      </c>
      <c r="H515" s="1">
        <v>1.375</v>
      </c>
      <c r="I515" s="1">
        <v>1.76</v>
      </c>
      <c r="J515" s="1">
        <v>23.7603305785123</v>
      </c>
      <c r="K515" t="str">
        <f t="shared" si="48"/>
        <v>缺口过小</v>
      </c>
      <c r="L515" s="2">
        <f t="shared" si="49"/>
        <v>1570</v>
      </c>
      <c r="M515" s="2">
        <f t="shared" si="50"/>
        <v>2158.75</v>
      </c>
      <c r="N515" s="2">
        <f t="shared" si="51"/>
        <v>200.75</v>
      </c>
      <c r="O515" s="2">
        <f t="shared" si="52"/>
        <v>404.8</v>
      </c>
      <c r="P515" s="2">
        <f t="shared" si="53"/>
        <v>809.6</v>
      </c>
    </row>
    <row r="516" spans="1:16">
      <c r="A516" s="1">
        <v>515</v>
      </c>
      <c r="B516" s="1">
        <v>21</v>
      </c>
      <c r="C516" s="1" t="s">
        <v>18</v>
      </c>
      <c r="D516" s="1">
        <v>154.1</v>
      </c>
      <c r="E516" s="1">
        <v>69.9</v>
      </c>
      <c r="F516" s="1">
        <v>1751</v>
      </c>
      <c r="G516" s="1" t="s">
        <v>21</v>
      </c>
      <c r="H516" s="1">
        <v>1.725</v>
      </c>
      <c r="I516" s="1">
        <v>1.541</v>
      </c>
      <c r="J516" s="1">
        <v>29.4355326041687</v>
      </c>
      <c r="K516" t="str">
        <f t="shared" si="48"/>
        <v>缺口合适</v>
      </c>
      <c r="L516" s="2">
        <f t="shared" si="49"/>
        <v>1396.125</v>
      </c>
      <c r="M516" s="2">
        <f t="shared" si="50"/>
        <v>2408.315625</v>
      </c>
      <c r="N516" s="2">
        <f t="shared" si="51"/>
        <v>657.315625</v>
      </c>
      <c r="O516" s="2">
        <f t="shared" si="52"/>
        <v>384.45</v>
      </c>
      <c r="P516" s="2">
        <f t="shared" si="53"/>
        <v>768.9</v>
      </c>
    </row>
    <row r="517" spans="1:16">
      <c r="A517" s="1">
        <v>516</v>
      </c>
      <c r="B517" s="1">
        <v>24</v>
      </c>
      <c r="C517" s="1" t="s">
        <v>18</v>
      </c>
      <c r="D517" s="1">
        <v>155.8</v>
      </c>
      <c r="E517" s="1">
        <v>98.6</v>
      </c>
      <c r="F517" s="1">
        <v>1898</v>
      </c>
      <c r="G517" s="1" t="s">
        <v>17</v>
      </c>
      <c r="H517" s="1">
        <v>1.375</v>
      </c>
      <c r="I517" s="1">
        <v>1.558</v>
      </c>
      <c r="J517" s="1">
        <v>40.6201954053862</v>
      </c>
      <c r="K517" t="str">
        <f t="shared" si="48"/>
        <v>缺口过小</v>
      </c>
      <c r="L517" s="2">
        <f t="shared" si="49"/>
        <v>1678.75</v>
      </c>
      <c r="M517" s="2">
        <f t="shared" si="50"/>
        <v>2308.28125</v>
      </c>
      <c r="N517" s="2">
        <f t="shared" si="51"/>
        <v>410.28125</v>
      </c>
      <c r="O517" s="2">
        <f t="shared" si="52"/>
        <v>542.3</v>
      </c>
      <c r="P517" s="2">
        <f t="shared" si="53"/>
        <v>1084.6</v>
      </c>
    </row>
    <row r="518" spans="1:16">
      <c r="A518" s="1">
        <v>517</v>
      </c>
      <c r="B518" s="1">
        <v>34</v>
      </c>
      <c r="C518" s="1" t="s">
        <v>18</v>
      </c>
      <c r="D518" s="1">
        <v>169</v>
      </c>
      <c r="E518" s="1">
        <v>77.1</v>
      </c>
      <c r="F518" s="1">
        <v>1542</v>
      </c>
      <c r="G518" s="1" t="s">
        <v>20</v>
      </c>
      <c r="H518" s="1">
        <v>1.55</v>
      </c>
      <c r="I518" s="1">
        <v>1.69</v>
      </c>
      <c r="J518" s="1">
        <v>26.9948531213893</v>
      </c>
      <c r="K518" t="str">
        <f t="shared" si="48"/>
        <v>缺口合适</v>
      </c>
      <c r="L518" s="2">
        <f t="shared" si="49"/>
        <v>1496.25</v>
      </c>
      <c r="M518" s="2">
        <f t="shared" si="50"/>
        <v>2319.1875</v>
      </c>
      <c r="N518" s="2">
        <f t="shared" si="51"/>
        <v>777.1875</v>
      </c>
      <c r="O518" s="2">
        <f t="shared" si="52"/>
        <v>424.05</v>
      </c>
      <c r="P518" s="2">
        <f t="shared" si="53"/>
        <v>848.1</v>
      </c>
    </row>
    <row r="519" spans="1:16">
      <c r="A519" s="1">
        <v>518</v>
      </c>
      <c r="B519" s="1">
        <v>30</v>
      </c>
      <c r="C519" s="1" t="s">
        <v>18</v>
      </c>
      <c r="D519" s="1">
        <v>168.3</v>
      </c>
      <c r="E519" s="1">
        <v>66.4</v>
      </c>
      <c r="F519" s="1">
        <v>3174</v>
      </c>
      <c r="G519" s="1" t="s">
        <v>17</v>
      </c>
      <c r="H519" s="1">
        <v>1.375</v>
      </c>
      <c r="I519" s="1">
        <v>1.683</v>
      </c>
      <c r="J519" s="1">
        <v>23.4422799170623</v>
      </c>
      <c r="K519" t="str">
        <f t="shared" si="48"/>
        <v>没有热量缺口</v>
      </c>
      <c r="L519" s="2">
        <f t="shared" si="49"/>
        <v>1404.875</v>
      </c>
      <c r="M519" s="2">
        <f t="shared" si="50"/>
        <v>1931.703125</v>
      </c>
      <c r="N519" s="2">
        <f t="shared" si="51"/>
        <v>-1242.296875</v>
      </c>
      <c r="O519" s="2">
        <f t="shared" si="52"/>
        <v>365.2</v>
      </c>
      <c r="P519" s="2">
        <f t="shared" si="53"/>
        <v>730.4</v>
      </c>
    </row>
    <row r="520" spans="1:16">
      <c r="A520" s="1">
        <v>519</v>
      </c>
      <c r="B520" s="1">
        <v>34</v>
      </c>
      <c r="C520" s="1" t="s">
        <v>16</v>
      </c>
      <c r="D520" s="1">
        <v>174.4</v>
      </c>
      <c r="E520" s="1">
        <v>75.5</v>
      </c>
      <c r="F520" s="1">
        <v>2383</v>
      </c>
      <c r="G520" s="1" t="s">
        <v>19</v>
      </c>
      <c r="H520" s="1">
        <v>1.2</v>
      </c>
      <c r="I520" s="1">
        <v>1.744</v>
      </c>
      <c r="J520" s="1">
        <v>24.8229841764161</v>
      </c>
      <c r="K520" t="str">
        <f t="shared" si="48"/>
        <v>没有热量缺口</v>
      </c>
      <c r="L520" s="2">
        <f t="shared" si="49"/>
        <v>1680</v>
      </c>
      <c r="M520" s="2">
        <f t="shared" si="50"/>
        <v>2016</v>
      </c>
      <c r="N520" s="2">
        <f t="shared" si="51"/>
        <v>-367</v>
      </c>
      <c r="O520" s="2">
        <f t="shared" si="52"/>
        <v>415.25</v>
      </c>
      <c r="P520" s="2">
        <f t="shared" si="53"/>
        <v>830.5</v>
      </c>
    </row>
    <row r="521" spans="1:16">
      <c r="A521" s="1">
        <v>520</v>
      </c>
      <c r="B521" s="1">
        <v>26</v>
      </c>
      <c r="C521" s="1" t="s">
        <v>18</v>
      </c>
      <c r="D521" s="1">
        <v>146.1</v>
      </c>
      <c r="E521" s="1">
        <v>67.9</v>
      </c>
      <c r="F521" s="1">
        <v>805</v>
      </c>
      <c r="G521" s="1" t="s">
        <v>17</v>
      </c>
      <c r="H521" s="1">
        <v>1.375</v>
      </c>
      <c r="I521" s="1">
        <v>1.46099999999999</v>
      </c>
      <c r="J521" s="1">
        <v>31.8104155452206</v>
      </c>
      <c r="K521" t="str">
        <f t="shared" si="48"/>
        <v>缺口过大</v>
      </c>
      <c r="L521" s="2">
        <f t="shared" si="49"/>
        <v>1301.125</v>
      </c>
      <c r="M521" s="2">
        <f t="shared" si="50"/>
        <v>1789.046875</v>
      </c>
      <c r="N521" s="2">
        <f t="shared" si="51"/>
        <v>984.046875</v>
      </c>
      <c r="O521" s="2">
        <f t="shared" si="52"/>
        <v>373.45</v>
      </c>
      <c r="P521" s="2">
        <f t="shared" si="53"/>
        <v>746.9</v>
      </c>
    </row>
    <row r="522" spans="1:16">
      <c r="A522" s="1">
        <v>521</v>
      </c>
      <c r="B522" s="1">
        <v>30</v>
      </c>
      <c r="C522" s="1" t="s">
        <v>18</v>
      </c>
      <c r="D522" s="1">
        <v>172.9</v>
      </c>
      <c r="E522" s="1">
        <v>62.8</v>
      </c>
      <c r="F522" s="1">
        <v>2773</v>
      </c>
      <c r="G522" s="1" t="s">
        <v>17</v>
      </c>
      <c r="H522" s="1">
        <v>1.375</v>
      </c>
      <c r="I522" s="1">
        <v>1.729</v>
      </c>
      <c r="J522" s="1">
        <v>21.0072719280962</v>
      </c>
      <c r="K522" t="str">
        <f t="shared" si="48"/>
        <v>没有热量缺口</v>
      </c>
      <c r="L522" s="2">
        <f t="shared" si="49"/>
        <v>1397.625</v>
      </c>
      <c r="M522" s="2">
        <f t="shared" si="50"/>
        <v>1921.734375</v>
      </c>
      <c r="N522" s="2">
        <f t="shared" si="51"/>
        <v>-851.265625</v>
      </c>
      <c r="O522" s="2">
        <f t="shared" si="52"/>
        <v>345.4</v>
      </c>
      <c r="P522" s="2">
        <f t="shared" si="53"/>
        <v>690.8</v>
      </c>
    </row>
    <row r="523" spans="1:16">
      <c r="A523" s="1">
        <v>522</v>
      </c>
      <c r="B523" s="1">
        <v>31</v>
      </c>
      <c r="C523" s="1" t="s">
        <v>18</v>
      </c>
      <c r="D523" s="1">
        <v>152.2</v>
      </c>
      <c r="E523" s="1">
        <v>32.6</v>
      </c>
      <c r="F523" s="1">
        <v>1476</v>
      </c>
      <c r="G523" s="1" t="s">
        <v>17</v>
      </c>
      <c r="H523" s="1">
        <v>1.375</v>
      </c>
      <c r="I523" s="1">
        <v>1.52199999999999</v>
      </c>
      <c r="J523" s="1">
        <v>14.0730520910137</v>
      </c>
      <c r="K523" t="str">
        <f t="shared" si="48"/>
        <v>没有热量缺口</v>
      </c>
      <c r="L523" s="2">
        <f t="shared" si="49"/>
        <v>961.25</v>
      </c>
      <c r="M523" s="2">
        <f t="shared" si="50"/>
        <v>1321.71875</v>
      </c>
      <c r="N523" s="2">
        <f t="shared" si="51"/>
        <v>-154.28125</v>
      </c>
      <c r="O523" s="2">
        <f t="shared" si="52"/>
        <v>179.3</v>
      </c>
      <c r="P523" s="2">
        <f t="shared" si="53"/>
        <v>358.6</v>
      </c>
    </row>
    <row r="524" spans="1:16">
      <c r="A524" s="1">
        <v>523</v>
      </c>
      <c r="B524" s="1">
        <v>21</v>
      </c>
      <c r="C524" s="1" t="s">
        <v>18</v>
      </c>
      <c r="D524" s="1">
        <v>160.6</v>
      </c>
      <c r="E524" s="1">
        <v>53.3</v>
      </c>
      <c r="F524" s="1">
        <v>1729</v>
      </c>
      <c r="G524" s="1" t="s">
        <v>17</v>
      </c>
      <c r="H524" s="1">
        <v>1.375</v>
      </c>
      <c r="I524" s="1">
        <v>1.60599999999999</v>
      </c>
      <c r="J524" s="1">
        <v>20.6650341418931</v>
      </c>
      <c r="K524" t="str">
        <f t="shared" si="48"/>
        <v>缺口过小</v>
      </c>
      <c r="L524" s="2">
        <f t="shared" si="49"/>
        <v>1270.75</v>
      </c>
      <c r="M524" s="2">
        <f t="shared" si="50"/>
        <v>1747.28125</v>
      </c>
      <c r="N524" s="2">
        <f t="shared" si="51"/>
        <v>18.28125</v>
      </c>
      <c r="O524" s="2">
        <f t="shared" si="52"/>
        <v>293.15</v>
      </c>
      <c r="P524" s="2">
        <f t="shared" si="53"/>
        <v>586.3</v>
      </c>
    </row>
    <row r="525" spans="1:16">
      <c r="A525" s="1">
        <v>524</v>
      </c>
      <c r="B525" s="1">
        <v>32</v>
      </c>
      <c r="C525" s="1" t="s">
        <v>16</v>
      </c>
      <c r="D525" s="1">
        <v>168</v>
      </c>
      <c r="E525" s="1">
        <v>79.8</v>
      </c>
      <c r="F525" s="1">
        <v>2167</v>
      </c>
      <c r="G525" s="1" t="s">
        <v>21</v>
      </c>
      <c r="H525" s="1">
        <v>1.725</v>
      </c>
      <c r="I525" s="1">
        <v>1.68</v>
      </c>
      <c r="J525" s="1">
        <v>28.2738095238095</v>
      </c>
      <c r="K525" t="str">
        <f t="shared" si="48"/>
        <v>缺口合适</v>
      </c>
      <c r="L525" s="2">
        <f t="shared" si="49"/>
        <v>1693</v>
      </c>
      <c r="M525" s="2">
        <f t="shared" si="50"/>
        <v>2920.425</v>
      </c>
      <c r="N525" s="2">
        <f t="shared" si="51"/>
        <v>753.425</v>
      </c>
      <c r="O525" s="2">
        <f t="shared" si="52"/>
        <v>438.9</v>
      </c>
      <c r="P525" s="2">
        <f t="shared" si="53"/>
        <v>877.8</v>
      </c>
    </row>
    <row r="526" spans="1:16">
      <c r="A526" s="1">
        <v>525</v>
      </c>
      <c r="B526" s="1">
        <v>34</v>
      </c>
      <c r="C526" s="1" t="s">
        <v>18</v>
      </c>
      <c r="D526" s="1">
        <v>161.3</v>
      </c>
      <c r="E526" s="1">
        <v>85.6</v>
      </c>
      <c r="F526" s="1">
        <v>979</v>
      </c>
      <c r="G526" s="1" t="s">
        <v>17</v>
      </c>
      <c r="H526" s="1">
        <v>1.375</v>
      </c>
      <c r="I526" s="1">
        <v>1.613</v>
      </c>
      <c r="J526" s="1">
        <v>32.9006917985416</v>
      </c>
      <c r="K526" t="str">
        <f t="shared" si="48"/>
        <v>缺口过大</v>
      </c>
      <c r="L526" s="2">
        <f t="shared" si="49"/>
        <v>1533.125</v>
      </c>
      <c r="M526" s="2">
        <f t="shared" si="50"/>
        <v>2108.046875</v>
      </c>
      <c r="N526" s="2">
        <f t="shared" si="51"/>
        <v>1129.046875</v>
      </c>
      <c r="O526" s="2">
        <f t="shared" si="52"/>
        <v>470.8</v>
      </c>
      <c r="P526" s="2">
        <f t="shared" si="53"/>
        <v>941.6</v>
      </c>
    </row>
    <row r="527" spans="1:16">
      <c r="A527" s="1">
        <v>526</v>
      </c>
      <c r="B527" s="1">
        <v>31</v>
      </c>
      <c r="C527" s="1" t="s">
        <v>18</v>
      </c>
      <c r="D527" s="1">
        <v>151.5</v>
      </c>
      <c r="E527" s="1">
        <v>59</v>
      </c>
      <c r="F527" s="1">
        <v>941</v>
      </c>
      <c r="G527" s="1" t="s">
        <v>21</v>
      </c>
      <c r="H527" s="1">
        <v>1.725</v>
      </c>
      <c r="I527" s="1">
        <v>1.515</v>
      </c>
      <c r="J527" s="1">
        <v>25.7055408511148</v>
      </c>
      <c r="K527" t="str">
        <f t="shared" si="48"/>
        <v>缺口过大</v>
      </c>
      <c r="L527" s="2">
        <f t="shared" si="49"/>
        <v>1220.875</v>
      </c>
      <c r="M527" s="2">
        <f t="shared" si="50"/>
        <v>2106.009375</v>
      </c>
      <c r="N527" s="2">
        <f t="shared" si="51"/>
        <v>1165.009375</v>
      </c>
      <c r="O527" s="2">
        <f t="shared" si="52"/>
        <v>324.5</v>
      </c>
      <c r="P527" s="2">
        <f t="shared" si="53"/>
        <v>649</v>
      </c>
    </row>
    <row r="528" spans="1:16">
      <c r="A528" s="1">
        <v>527</v>
      </c>
      <c r="B528" s="1">
        <v>20</v>
      </c>
      <c r="C528" s="1" t="s">
        <v>18</v>
      </c>
      <c r="D528" s="1">
        <v>159.1</v>
      </c>
      <c r="E528" s="1">
        <v>58.2</v>
      </c>
      <c r="F528" s="1">
        <v>948</v>
      </c>
      <c r="G528" s="1" t="s">
        <v>19</v>
      </c>
      <c r="H528" s="1">
        <v>1.2</v>
      </c>
      <c r="I528" s="1">
        <v>1.591</v>
      </c>
      <c r="J528" s="1">
        <v>22.9923110077466</v>
      </c>
      <c r="K528" t="str">
        <f t="shared" si="48"/>
        <v>缺口合适</v>
      </c>
      <c r="L528" s="2">
        <f t="shared" si="49"/>
        <v>1315.375</v>
      </c>
      <c r="M528" s="2">
        <f t="shared" si="50"/>
        <v>1578.45</v>
      </c>
      <c r="N528" s="2">
        <f t="shared" si="51"/>
        <v>630.45</v>
      </c>
      <c r="O528" s="2">
        <f t="shared" si="52"/>
        <v>320.1</v>
      </c>
      <c r="P528" s="2">
        <f t="shared" si="53"/>
        <v>640.2</v>
      </c>
    </row>
    <row r="529" spans="1:16">
      <c r="A529" s="1">
        <v>528</v>
      </c>
      <c r="B529" s="1">
        <v>28</v>
      </c>
      <c r="C529" s="1" t="s">
        <v>18</v>
      </c>
      <c r="D529" s="1">
        <v>174.7</v>
      </c>
      <c r="E529" s="1">
        <v>80.7</v>
      </c>
      <c r="F529" s="1">
        <v>2553</v>
      </c>
      <c r="G529" s="1" t="s">
        <v>21</v>
      </c>
      <c r="H529" s="1">
        <v>1.725</v>
      </c>
      <c r="I529" s="1">
        <v>1.74699999999999</v>
      </c>
      <c r="J529" s="1">
        <v>26.4415996152042</v>
      </c>
      <c r="K529" t="str">
        <f t="shared" si="48"/>
        <v>缺口过小</v>
      </c>
      <c r="L529" s="2">
        <f t="shared" si="49"/>
        <v>1597.875</v>
      </c>
      <c r="M529" s="2">
        <f t="shared" si="50"/>
        <v>2756.334375</v>
      </c>
      <c r="N529" s="2">
        <f t="shared" si="51"/>
        <v>203.334375</v>
      </c>
      <c r="O529" s="2">
        <f t="shared" si="52"/>
        <v>443.85</v>
      </c>
      <c r="P529" s="2">
        <f t="shared" si="53"/>
        <v>887.7</v>
      </c>
    </row>
    <row r="530" spans="1:16">
      <c r="A530" s="1">
        <v>529</v>
      </c>
      <c r="B530" s="1">
        <v>23</v>
      </c>
      <c r="C530" s="1" t="s">
        <v>16</v>
      </c>
      <c r="D530" s="1">
        <v>172.7</v>
      </c>
      <c r="E530" s="1">
        <v>64.1</v>
      </c>
      <c r="F530" s="1">
        <v>3430</v>
      </c>
      <c r="G530" s="1" t="s">
        <v>20</v>
      </c>
      <c r="H530" s="1">
        <v>1.55</v>
      </c>
      <c r="I530" s="1">
        <v>1.72699999999999</v>
      </c>
      <c r="J530" s="1">
        <v>21.4918279084629</v>
      </c>
      <c r="K530" t="str">
        <f t="shared" si="48"/>
        <v>没有热量缺口</v>
      </c>
      <c r="L530" s="2">
        <f t="shared" si="49"/>
        <v>1610.375</v>
      </c>
      <c r="M530" s="2">
        <f t="shared" si="50"/>
        <v>2496.08125</v>
      </c>
      <c r="N530" s="2">
        <f t="shared" si="51"/>
        <v>-933.91875</v>
      </c>
      <c r="O530" s="2">
        <f t="shared" si="52"/>
        <v>352.55</v>
      </c>
      <c r="P530" s="2">
        <f t="shared" si="53"/>
        <v>705.1</v>
      </c>
    </row>
    <row r="531" spans="1:16">
      <c r="A531" s="1">
        <v>530</v>
      </c>
      <c r="B531" s="1">
        <v>21</v>
      </c>
      <c r="C531" s="1" t="s">
        <v>18</v>
      </c>
      <c r="D531" s="1">
        <v>172.8</v>
      </c>
      <c r="E531" s="1">
        <v>81.9</v>
      </c>
      <c r="F531" s="1">
        <v>1263</v>
      </c>
      <c r="G531" s="1" t="s">
        <v>17</v>
      </c>
      <c r="H531" s="1">
        <v>1.375</v>
      </c>
      <c r="I531" s="1">
        <v>1.728</v>
      </c>
      <c r="J531" s="1">
        <v>27.4281442901234</v>
      </c>
      <c r="K531" t="str">
        <f t="shared" si="48"/>
        <v>缺口过大</v>
      </c>
      <c r="L531" s="2">
        <f t="shared" si="49"/>
        <v>1633</v>
      </c>
      <c r="M531" s="2">
        <f t="shared" si="50"/>
        <v>2245.375</v>
      </c>
      <c r="N531" s="2">
        <f t="shared" si="51"/>
        <v>982.375</v>
      </c>
      <c r="O531" s="2">
        <f t="shared" si="52"/>
        <v>450.45</v>
      </c>
      <c r="P531" s="2">
        <f t="shared" si="53"/>
        <v>900.9</v>
      </c>
    </row>
    <row r="532" spans="1:16">
      <c r="A532" s="1">
        <v>531</v>
      </c>
      <c r="B532" s="1">
        <v>31</v>
      </c>
      <c r="C532" s="1" t="s">
        <v>16</v>
      </c>
      <c r="D532" s="1">
        <v>171.1</v>
      </c>
      <c r="E532" s="1">
        <v>130.1</v>
      </c>
      <c r="F532" s="1">
        <v>2408</v>
      </c>
      <c r="G532" s="1" t="s">
        <v>19</v>
      </c>
      <c r="H532" s="1">
        <v>1.2</v>
      </c>
      <c r="I532" s="1">
        <v>1.71099999999999</v>
      </c>
      <c r="J532" s="1">
        <v>44.4403302316191</v>
      </c>
      <c r="K532" t="str">
        <f t="shared" si="48"/>
        <v>缺口过小</v>
      </c>
      <c r="L532" s="2">
        <f t="shared" si="49"/>
        <v>2220.375</v>
      </c>
      <c r="M532" s="2">
        <f t="shared" si="50"/>
        <v>2664.45</v>
      </c>
      <c r="N532" s="2">
        <f t="shared" si="51"/>
        <v>256.45</v>
      </c>
      <c r="O532" s="2">
        <f t="shared" si="52"/>
        <v>715.55</v>
      </c>
      <c r="P532" s="2">
        <f t="shared" si="53"/>
        <v>1431.1</v>
      </c>
    </row>
    <row r="533" spans="1:16">
      <c r="A533" s="1">
        <v>532</v>
      </c>
      <c r="B533" s="1">
        <v>26</v>
      </c>
      <c r="C533" s="1" t="s">
        <v>16</v>
      </c>
      <c r="D533" s="1">
        <v>190.2</v>
      </c>
      <c r="E533" s="1">
        <v>100.8</v>
      </c>
      <c r="F533" s="1">
        <v>4306</v>
      </c>
      <c r="G533" s="1" t="s">
        <v>21</v>
      </c>
      <c r="H533" s="1">
        <v>1.725</v>
      </c>
      <c r="I533" s="1">
        <v>1.902</v>
      </c>
      <c r="J533" s="1">
        <v>27.8637462806874</v>
      </c>
      <c r="K533" t="str">
        <f t="shared" si="48"/>
        <v>没有热量缺口</v>
      </c>
      <c r="L533" s="2">
        <f t="shared" si="49"/>
        <v>2071.75</v>
      </c>
      <c r="M533" s="2">
        <f t="shared" si="50"/>
        <v>3573.76875</v>
      </c>
      <c r="N533" s="2">
        <f t="shared" si="51"/>
        <v>-732.23125</v>
      </c>
      <c r="O533" s="2">
        <f t="shared" si="52"/>
        <v>554.4</v>
      </c>
      <c r="P533" s="2">
        <f t="shared" si="53"/>
        <v>1108.8</v>
      </c>
    </row>
    <row r="534" spans="1:16">
      <c r="A534" s="1">
        <v>533</v>
      </c>
      <c r="B534" s="1">
        <v>31</v>
      </c>
      <c r="C534" s="1" t="s">
        <v>18</v>
      </c>
      <c r="D534" s="1">
        <v>177.9</v>
      </c>
      <c r="E534" s="1">
        <v>110</v>
      </c>
      <c r="F534" s="1">
        <v>1200</v>
      </c>
      <c r="G534" s="1" t="s">
        <v>21</v>
      </c>
      <c r="H534" s="1">
        <v>1.725</v>
      </c>
      <c r="I534" s="1">
        <v>1.779</v>
      </c>
      <c r="J534" s="1">
        <v>34.7568803614462</v>
      </c>
      <c r="K534" t="str">
        <f t="shared" si="48"/>
        <v>缺口过大</v>
      </c>
      <c r="L534" s="2">
        <f t="shared" si="49"/>
        <v>1895.875</v>
      </c>
      <c r="M534" s="2">
        <f t="shared" si="50"/>
        <v>3270.384375</v>
      </c>
      <c r="N534" s="2">
        <f t="shared" si="51"/>
        <v>2070.384375</v>
      </c>
      <c r="O534" s="2">
        <f t="shared" si="52"/>
        <v>605</v>
      </c>
      <c r="P534" s="2">
        <f t="shared" si="53"/>
        <v>1210</v>
      </c>
    </row>
    <row r="535" spans="1:16">
      <c r="A535" s="1">
        <v>534</v>
      </c>
      <c r="B535" s="1">
        <v>27</v>
      </c>
      <c r="C535" s="1" t="s">
        <v>18</v>
      </c>
      <c r="D535" s="1">
        <v>166.7</v>
      </c>
      <c r="E535" s="1">
        <v>51.3</v>
      </c>
      <c r="F535" s="1">
        <v>2073</v>
      </c>
      <c r="G535" s="1" t="s">
        <v>21</v>
      </c>
      <c r="H535" s="1">
        <v>1.725</v>
      </c>
      <c r="I535" s="1">
        <v>1.66699999999999</v>
      </c>
      <c r="J535" s="1">
        <v>18.4606150155691</v>
      </c>
      <c r="K535" t="str">
        <f t="shared" si="48"/>
        <v>缺口过小</v>
      </c>
      <c r="L535" s="2">
        <f t="shared" si="49"/>
        <v>1258.875</v>
      </c>
      <c r="M535" s="2">
        <f t="shared" si="50"/>
        <v>2171.559375</v>
      </c>
      <c r="N535" s="2">
        <f t="shared" si="51"/>
        <v>98.5593750000003</v>
      </c>
      <c r="O535" s="2">
        <f t="shared" si="52"/>
        <v>282.15</v>
      </c>
      <c r="P535" s="2">
        <f t="shared" si="53"/>
        <v>564.3</v>
      </c>
    </row>
    <row r="536" spans="1:16">
      <c r="A536" s="1">
        <v>535</v>
      </c>
      <c r="B536" s="1">
        <v>20</v>
      </c>
      <c r="C536" s="1" t="s">
        <v>18</v>
      </c>
      <c r="D536" s="1">
        <v>171.7</v>
      </c>
      <c r="E536" s="1">
        <v>103.1</v>
      </c>
      <c r="F536" s="1">
        <v>2410</v>
      </c>
      <c r="G536" s="1" t="s">
        <v>19</v>
      </c>
      <c r="H536" s="1">
        <v>1.2</v>
      </c>
      <c r="I536" s="1">
        <v>1.71699999999999</v>
      </c>
      <c r="J536" s="1">
        <v>34.9718071605029</v>
      </c>
      <c r="K536" t="str">
        <f t="shared" si="48"/>
        <v>没有热量缺口</v>
      </c>
      <c r="L536" s="2">
        <f t="shared" si="49"/>
        <v>1843.125</v>
      </c>
      <c r="M536" s="2">
        <f t="shared" si="50"/>
        <v>2211.75</v>
      </c>
      <c r="N536" s="2">
        <f t="shared" si="51"/>
        <v>-198.25</v>
      </c>
      <c r="O536" s="2">
        <f t="shared" si="52"/>
        <v>567.05</v>
      </c>
      <c r="P536" s="2">
        <f t="shared" si="53"/>
        <v>1134.1</v>
      </c>
    </row>
    <row r="537" spans="1:16">
      <c r="A537" s="1">
        <v>536</v>
      </c>
      <c r="B537" s="1">
        <v>26</v>
      </c>
      <c r="C537" s="1" t="s">
        <v>18</v>
      </c>
      <c r="D537" s="1">
        <v>166</v>
      </c>
      <c r="E537" s="1">
        <v>53.8</v>
      </c>
      <c r="F537" s="1">
        <v>2210</v>
      </c>
      <c r="G537" s="1" t="s">
        <v>20</v>
      </c>
      <c r="H537" s="1">
        <v>1.55</v>
      </c>
      <c r="I537" s="1">
        <v>1.66</v>
      </c>
      <c r="J537" s="1">
        <v>19.5238786471185</v>
      </c>
      <c r="K537" t="str">
        <f t="shared" si="48"/>
        <v>没有热量缺口</v>
      </c>
      <c r="L537" s="2">
        <f t="shared" si="49"/>
        <v>1284.5</v>
      </c>
      <c r="M537" s="2">
        <f t="shared" si="50"/>
        <v>1990.975</v>
      </c>
      <c r="N537" s="2">
        <f t="shared" si="51"/>
        <v>-219.025</v>
      </c>
      <c r="O537" s="2">
        <f t="shared" si="52"/>
        <v>295.9</v>
      </c>
      <c r="P537" s="2">
        <f t="shared" si="53"/>
        <v>591.8</v>
      </c>
    </row>
    <row r="538" spans="1:16">
      <c r="A538" s="1">
        <v>537</v>
      </c>
      <c r="B538" s="1">
        <v>33</v>
      </c>
      <c r="C538" s="1" t="s">
        <v>16</v>
      </c>
      <c r="D538" s="1">
        <v>158.7</v>
      </c>
      <c r="E538" s="1">
        <v>59.2</v>
      </c>
      <c r="F538" s="1">
        <v>1362</v>
      </c>
      <c r="G538" s="1" t="s">
        <v>21</v>
      </c>
      <c r="H538" s="1">
        <v>1.725</v>
      </c>
      <c r="I538" s="1">
        <v>1.587</v>
      </c>
      <c r="J538" s="1">
        <v>23.5054112077135</v>
      </c>
      <c r="K538" t="str">
        <f t="shared" si="48"/>
        <v>缺口过大</v>
      </c>
      <c r="L538" s="2">
        <f t="shared" si="49"/>
        <v>1423.875</v>
      </c>
      <c r="M538" s="2">
        <f t="shared" si="50"/>
        <v>2456.184375</v>
      </c>
      <c r="N538" s="2">
        <f t="shared" si="51"/>
        <v>1094.184375</v>
      </c>
      <c r="O538" s="2">
        <f t="shared" si="52"/>
        <v>325.6</v>
      </c>
      <c r="P538" s="2">
        <f t="shared" si="53"/>
        <v>651.2</v>
      </c>
    </row>
    <row r="539" spans="1:16">
      <c r="A539" s="1">
        <v>538</v>
      </c>
      <c r="B539" s="1">
        <v>27</v>
      </c>
      <c r="C539" s="1" t="s">
        <v>16</v>
      </c>
      <c r="D539" s="1">
        <v>159.9</v>
      </c>
      <c r="E539" s="1">
        <v>54.5</v>
      </c>
      <c r="F539" s="1">
        <v>2191</v>
      </c>
      <c r="G539" s="1" t="s">
        <v>19</v>
      </c>
      <c r="H539" s="1">
        <v>1.2</v>
      </c>
      <c r="I539" s="1">
        <v>1.599</v>
      </c>
      <c r="J539" s="1">
        <v>21.3156987970514</v>
      </c>
      <c r="K539" t="str">
        <f t="shared" si="48"/>
        <v>没有热量缺口</v>
      </c>
      <c r="L539" s="2">
        <f t="shared" si="49"/>
        <v>1414.375</v>
      </c>
      <c r="M539" s="2">
        <f t="shared" si="50"/>
        <v>1697.25</v>
      </c>
      <c r="N539" s="2">
        <f t="shared" si="51"/>
        <v>-493.75</v>
      </c>
      <c r="O539" s="2">
        <f t="shared" si="52"/>
        <v>299.75</v>
      </c>
      <c r="P539" s="2">
        <f t="shared" si="53"/>
        <v>599.5</v>
      </c>
    </row>
    <row r="540" spans="1:16">
      <c r="A540" s="1">
        <v>539</v>
      </c>
      <c r="B540" s="1">
        <v>29</v>
      </c>
      <c r="C540" s="1" t="s">
        <v>18</v>
      </c>
      <c r="D540" s="1">
        <v>154</v>
      </c>
      <c r="E540" s="1">
        <v>54.6</v>
      </c>
      <c r="F540" s="1">
        <v>2444</v>
      </c>
      <c r="G540" s="1" t="s">
        <v>17</v>
      </c>
      <c r="H540" s="1">
        <v>1.375</v>
      </c>
      <c r="I540" s="1">
        <v>1.54</v>
      </c>
      <c r="J540" s="1">
        <v>23.0224321133412</v>
      </c>
      <c r="K540" t="str">
        <f t="shared" si="48"/>
        <v>没有热量缺口</v>
      </c>
      <c r="L540" s="2">
        <f t="shared" si="49"/>
        <v>1202.5</v>
      </c>
      <c r="M540" s="2">
        <f t="shared" si="50"/>
        <v>1653.4375</v>
      </c>
      <c r="N540" s="2">
        <f t="shared" si="51"/>
        <v>-790.5625</v>
      </c>
      <c r="O540" s="2">
        <f t="shared" si="52"/>
        <v>300.3</v>
      </c>
      <c r="P540" s="2">
        <f t="shared" si="53"/>
        <v>600.6</v>
      </c>
    </row>
    <row r="541" spans="1:16">
      <c r="A541" s="1">
        <v>540</v>
      </c>
      <c r="B541" s="1">
        <v>31</v>
      </c>
      <c r="C541" s="1" t="s">
        <v>18</v>
      </c>
      <c r="D541" s="1">
        <v>157</v>
      </c>
      <c r="E541" s="1">
        <v>64.8</v>
      </c>
      <c r="F541" s="1">
        <v>1500</v>
      </c>
      <c r="G541" s="1" t="s">
        <v>21</v>
      </c>
      <c r="H541" s="1">
        <v>1.725</v>
      </c>
      <c r="I541" s="1">
        <v>1.57</v>
      </c>
      <c r="J541" s="1">
        <v>26.2890989492474</v>
      </c>
      <c r="K541" t="str">
        <f t="shared" si="48"/>
        <v>缺口过大</v>
      </c>
      <c r="L541" s="2">
        <f t="shared" si="49"/>
        <v>1313.25</v>
      </c>
      <c r="M541" s="2">
        <f t="shared" si="50"/>
        <v>2265.35625</v>
      </c>
      <c r="N541" s="2">
        <f t="shared" si="51"/>
        <v>765.35625</v>
      </c>
      <c r="O541" s="2">
        <f t="shared" si="52"/>
        <v>356.4</v>
      </c>
      <c r="P541" s="2">
        <f t="shared" si="53"/>
        <v>712.8</v>
      </c>
    </row>
    <row r="542" spans="1:16">
      <c r="A542" s="1">
        <v>541</v>
      </c>
      <c r="B542" s="1">
        <v>30</v>
      </c>
      <c r="C542" s="1" t="s">
        <v>16</v>
      </c>
      <c r="D542" s="1">
        <v>186.9</v>
      </c>
      <c r="E542" s="1">
        <v>78.9</v>
      </c>
      <c r="F542" s="1">
        <v>3457</v>
      </c>
      <c r="G542" s="1" t="s">
        <v>21</v>
      </c>
      <c r="H542" s="1">
        <v>1.725</v>
      </c>
      <c r="I542" s="1">
        <v>1.869</v>
      </c>
      <c r="J542" s="1">
        <v>22.5869921254703</v>
      </c>
      <c r="K542" t="str">
        <f t="shared" si="48"/>
        <v>没有热量缺口</v>
      </c>
      <c r="L542" s="2">
        <f t="shared" si="49"/>
        <v>1812.125</v>
      </c>
      <c r="M542" s="2">
        <f t="shared" si="50"/>
        <v>3125.915625</v>
      </c>
      <c r="N542" s="2">
        <f t="shared" si="51"/>
        <v>-331.084375</v>
      </c>
      <c r="O542" s="2">
        <f t="shared" si="52"/>
        <v>433.95</v>
      </c>
      <c r="P542" s="2">
        <f t="shared" si="53"/>
        <v>867.9</v>
      </c>
    </row>
    <row r="543" spans="1:16">
      <c r="A543" s="1">
        <v>542</v>
      </c>
      <c r="B543" s="1">
        <v>35</v>
      </c>
      <c r="C543" s="1" t="s">
        <v>18</v>
      </c>
      <c r="D543" s="1">
        <v>169.2</v>
      </c>
      <c r="E543" s="1">
        <v>82.2</v>
      </c>
      <c r="F543" s="1">
        <v>1275</v>
      </c>
      <c r="G543" s="1" t="s">
        <v>20</v>
      </c>
      <c r="H543" s="1">
        <v>1.55</v>
      </c>
      <c r="I543" s="1">
        <v>1.692</v>
      </c>
      <c r="J543" s="1">
        <v>28.7125060778297</v>
      </c>
      <c r="K543" t="str">
        <f t="shared" si="48"/>
        <v>缺口过大</v>
      </c>
      <c r="L543" s="2">
        <f t="shared" si="49"/>
        <v>1543.5</v>
      </c>
      <c r="M543" s="2">
        <f t="shared" si="50"/>
        <v>2392.425</v>
      </c>
      <c r="N543" s="2">
        <f t="shared" si="51"/>
        <v>1117.425</v>
      </c>
      <c r="O543" s="2">
        <f t="shared" si="52"/>
        <v>452.1</v>
      </c>
      <c r="P543" s="2">
        <f t="shared" si="53"/>
        <v>904.2</v>
      </c>
    </row>
    <row r="544" spans="1:16">
      <c r="A544" s="1">
        <v>543</v>
      </c>
      <c r="B544" s="1">
        <v>32</v>
      </c>
      <c r="C544" s="1" t="s">
        <v>16</v>
      </c>
      <c r="D544" s="1">
        <v>189.5</v>
      </c>
      <c r="E544" s="1">
        <v>132.4</v>
      </c>
      <c r="F544" s="1">
        <v>2669</v>
      </c>
      <c r="G544" s="1" t="s">
        <v>21</v>
      </c>
      <c r="H544" s="1">
        <v>1.725</v>
      </c>
      <c r="I544" s="1">
        <v>1.895</v>
      </c>
      <c r="J544" s="1">
        <v>36.8696959781677</v>
      </c>
      <c r="K544" t="str">
        <f t="shared" si="48"/>
        <v>缺口合适</v>
      </c>
      <c r="L544" s="2">
        <f t="shared" si="49"/>
        <v>2353.375</v>
      </c>
      <c r="M544" s="2">
        <f t="shared" si="50"/>
        <v>4059.571875</v>
      </c>
      <c r="N544" s="2">
        <f t="shared" si="51"/>
        <v>1390.571875</v>
      </c>
      <c r="O544" s="2">
        <f t="shared" si="52"/>
        <v>728.2</v>
      </c>
      <c r="P544" s="2">
        <f t="shared" si="53"/>
        <v>1456.4</v>
      </c>
    </row>
    <row r="545" spans="1:16">
      <c r="A545" s="1">
        <v>544</v>
      </c>
      <c r="B545" s="1">
        <v>22</v>
      </c>
      <c r="C545" s="1" t="s">
        <v>16</v>
      </c>
      <c r="D545" s="1">
        <v>167.8</v>
      </c>
      <c r="E545" s="1">
        <v>90.8</v>
      </c>
      <c r="F545" s="1">
        <v>2875</v>
      </c>
      <c r="G545" s="1" t="s">
        <v>21</v>
      </c>
      <c r="H545" s="1">
        <v>1.725</v>
      </c>
      <c r="I545" s="1">
        <v>1.678</v>
      </c>
      <c r="J545" s="1">
        <v>32.2479369133752</v>
      </c>
      <c r="K545" t="str">
        <f t="shared" si="48"/>
        <v>缺口过小</v>
      </c>
      <c r="L545" s="2">
        <f t="shared" si="49"/>
        <v>1851.75</v>
      </c>
      <c r="M545" s="2">
        <f t="shared" si="50"/>
        <v>3194.26875</v>
      </c>
      <c r="N545" s="2">
        <f t="shared" si="51"/>
        <v>319.26875</v>
      </c>
      <c r="O545" s="2">
        <f t="shared" si="52"/>
        <v>499.4</v>
      </c>
      <c r="P545" s="2">
        <f t="shared" si="53"/>
        <v>998.8</v>
      </c>
    </row>
    <row r="546" spans="1:16">
      <c r="A546" s="1">
        <v>545</v>
      </c>
      <c r="B546" s="1">
        <v>22</v>
      </c>
      <c r="C546" s="1" t="s">
        <v>18</v>
      </c>
      <c r="D546" s="1">
        <v>151.6</v>
      </c>
      <c r="E546" s="1">
        <v>79.5</v>
      </c>
      <c r="F546" s="1">
        <v>1333</v>
      </c>
      <c r="G546" s="1" t="s">
        <v>17</v>
      </c>
      <c r="H546" s="1">
        <v>1.375</v>
      </c>
      <c r="I546" s="1">
        <v>1.516</v>
      </c>
      <c r="J546" s="1">
        <v>34.5914467317827</v>
      </c>
      <c r="K546" t="str">
        <f t="shared" si="48"/>
        <v>缺口合适</v>
      </c>
      <c r="L546" s="2">
        <f t="shared" si="49"/>
        <v>1471.5</v>
      </c>
      <c r="M546" s="2">
        <f t="shared" si="50"/>
        <v>2023.3125</v>
      </c>
      <c r="N546" s="2">
        <f t="shared" si="51"/>
        <v>690.3125</v>
      </c>
      <c r="O546" s="2">
        <f t="shared" si="52"/>
        <v>437.25</v>
      </c>
      <c r="P546" s="2">
        <f t="shared" si="53"/>
        <v>874.5</v>
      </c>
    </row>
    <row r="547" spans="1:16">
      <c r="A547" s="1">
        <v>546</v>
      </c>
      <c r="B547" s="1">
        <v>26</v>
      </c>
      <c r="C547" s="1" t="s">
        <v>18</v>
      </c>
      <c r="D547" s="1">
        <v>162.6</v>
      </c>
      <c r="E547" s="1">
        <v>60.8</v>
      </c>
      <c r="F547" s="1">
        <v>1288</v>
      </c>
      <c r="G547" s="1" t="s">
        <v>17</v>
      </c>
      <c r="H547" s="1">
        <v>1.375</v>
      </c>
      <c r="I547" s="1">
        <v>1.626</v>
      </c>
      <c r="J547" s="1">
        <v>22.9965399284989</v>
      </c>
      <c r="K547" t="str">
        <f t="shared" si="48"/>
        <v>缺口合适</v>
      </c>
      <c r="L547" s="2">
        <f t="shared" si="49"/>
        <v>1333.25</v>
      </c>
      <c r="M547" s="2">
        <f t="shared" si="50"/>
        <v>1833.21875</v>
      </c>
      <c r="N547" s="2">
        <f t="shared" si="51"/>
        <v>545.21875</v>
      </c>
      <c r="O547" s="2">
        <f t="shared" si="52"/>
        <v>334.4</v>
      </c>
      <c r="P547" s="2">
        <f t="shared" si="53"/>
        <v>668.8</v>
      </c>
    </row>
    <row r="548" spans="1:16">
      <c r="A548" s="1">
        <v>547</v>
      </c>
      <c r="B548" s="1">
        <v>29</v>
      </c>
      <c r="C548" s="1" t="s">
        <v>18</v>
      </c>
      <c r="D548" s="1">
        <v>176</v>
      </c>
      <c r="E548" s="1">
        <v>70.3</v>
      </c>
      <c r="F548" s="1">
        <v>1725</v>
      </c>
      <c r="G548" s="1" t="s">
        <v>20</v>
      </c>
      <c r="H548" s="1">
        <v>1.55</v>
      </c>
      <c r="I548" s="1">
        <v>1.76</v>
      </c>
      <c r="J548" s="1">
        <v>22.6949896694214</v>
      </c>
      <c r="K548" t="str">
        <f t="shared" si="48"/>
        <v>缺口合适</v>
      </c>
      <c r="L548" s="2">
        <f t="shared" si="49"/>
        <v>1497</v>
      </c>
      <c r="M548" s="2">
        <f t="shared" si="50"/>
        <v>2320.35</v>
      </c>
      <c r="N548" s="2">
        <f t="shared" si="51"/>
        <v>595.35</v>
      </c>
      <c r="O548" s="2">
        <f t="shared" si="52"/>
        <v>386.65</v>
      </c>
      <c r="P548" s="2">
        <f t="shared" si="53"/>
        <v>773.3</v>
      </c>
    </row>
    <row r="549" spans="1:16">
      <c r="A549" s="1">
        <v>548</v>
      </c>
      <c r="B549" s="1">
        <v>33</v>
      </c>
      <c r="C549" s="1" t="s">
        <v>18</v>
      </c>
      <c r="D549" s="1">
        <v>178.2</v>
      </c>
      <c r="E549" s="1">
        <v>71.5</v>
      </c>
      <c r="F549" s="1">
        <v>1518</v>
      </c>
      <c r="G549" s="1" t="s">
        <v>17</v>
      </c>
      <c r="H549" s="1">
        <v>1.375</v>
      </c>
      <c r="I549" s="1">
        <v>1.78199999999999</v>
      </c>
      <c r="J549" s="1">
        <v>22.5159690180266</v>
      </c>
      <c r="K549" t="str">
        <f t="shared" si="48"/>
        <v>缺口合适</v>
      </c>
      <c r="L549" s="2">
        <f t="shared" si="49"/>
        <v>1502.75</v>
      </c>
      <c r="M549" s="2">
        <f t="shared" si="50"/>
        <v>2066.28125</v>
      </c>
      <c r="N549" s="2">
        <f t="shared" si="51"/>
        <v>548.28125</v>
      </c>
      <c r="O549" s="2">
        <f t="shared" si="52"/>
        <v>393.25</v>
      </c>
      <c r="P549" s="2">
        <f t="shared" si="53"/>
        <v>786.5</v>
      </c>
    </row>
    <row r="550" spans="1:16">
      <c r="A550" s="1">
        <v>549</v>
      </c>
      <c r="B550" s="1">
        <v>20</v>
      </c>
      <c r="C550" s="1" t="s">
        <v>18</v>
      </c>
      <c r="D550" s="1">
        <v>148</v>
      </c>
      <c r="E550" s="1">
        <v>58.7</v>
      </c>
      <c r="F550" s="1">
        <v>2560</v>
      </c>
      <c r="G550" s="1" t="s">
        <v>17</v>
      </c>
      <c r="H550" s="1">
        <v>1.375</v>
      </c>
      <c r="I550" s="1">
        <v>1.48</v>
      </c>
      <c r="J550" s="1">
        <v>26.7987582176771</v>
      </c>
      <c r="K550" t="str">
        <f t="shared" si="48"/>
        <v>没有热量缺口</v>
      </c>
      <c r="L550" s="2">
        <f t="shared" si="49"/>
        <v>1251</v>
      </c>
      <c r="M550" s="2">
        <f t="shared" si="50"/>
        <v>1720.125</v>
      </c>
      <c r="N550" s="2">
        <f t="shared" si="51"/>
        <v>-839.875</v>
      </c>
      <c r="O550" s="2">
        <f t="shared" si="52"/>
        <v>322.85</v>
      </c>
      <c r="P550" s="2">
        <f t="shared" si="53"/>
        <v>645.7</v>
      </c>
    </row>
    <row r="551" spans="1:16">
      <c r="A551" s="1">
        <v>550</v>
      </c>
      <c r="B551" s="1">
        <v>35</v>
      </c>
      <c r="C551" s="1" t="s">
        <v>18</v>
      </c>
      <c r="D551" s="1">
        <v>172.9</v>
      </c>
      <c r="E551" s="1">
        <v>113.9</v>
      </c>
      <c r="F551" s="1">
        <v>2924</v>
      </c>
      <c r="G551" s="1" t="s">
        <v>19</v>
      </c>
      <c r="H551" s="1">
        <v>1.2</v>
      </c>
      <c r="I551" s="1">
        <v>1.729</v>
      </c>
      <c r="J551" s="1">
        <v>38.1007686721363</v>
      </c>
      <c r="K551" t="str">
        <f t="shared" si="48"/>
        <v>没有热量缺口</v>
      </c>
      <c r="L551" s="2">
        <f t="shared" si="49"/>
        <v>1883.625</v>
      </c>
      <c r="M551" s="2">
        <f t="shared" si="50"/>
        <v>2260.35</v>
      </c>
      <c r="N551" s="2">
        <f t="shared" si="51"/>
        <v>-663.65</v>
      </c>
      <c r="O551" s="2">
        <f t="shared" si="52"/>
        <v>626.45</v>
      </c>
      <c r="P551" s="2">
        <f t="shared" si="53"/>
        <v>1252.9</v>
      </c>
    </row>
    <row r="552" spans="1:16">
      <c r="A552" s="1">
        <v>551</v>
      </c>
      <c r="B552" s="1">
        <v>34</v>
      </c>
      <c r="C552" s="1" t="s">
        <v>18</v>
      </c>
      <c r="D552" s="1">
        <v>158.8</v>
      </c>
      <c r="E552" s="1">
        <v>88.9</v>
      </c>
      <c r="F552" s="1">
        <v>950</v>
      </c>
      <c r="G552" s="1" t="s">
        <v>19</v>
      </c>
      <c r="H552" s="1">
        <v>1.2</v>
      </c>
      <c r="I552" s="1">
        <v>1.588</v>
      </c>
      <c r="J552" s="1">
        <v>35.2533802003692</v>
      </c>
      <c r="K552" t="str">
        <f t="shared" si="48"/>
        <v>缺口合适</v>
      </c>
      <c r="L552" s="2">
        <f t="shared" si="49"/>
        <v>1550.5</v>
      </c>
      <c r="M552" s="2">
        <f t="shared" si="50"/>
        <v>1860.6</v>
      </c>
      <c r="N552" s="2">
        <f t="shared" si="51"/>
        <v>910.6</v>
      </c>
      <c r="O552" s="2">
        <f t="shared" si="52"/>
        <v>488.95</v>
      </c>
      <c r="P552" s="2">
        <f t="shared" si="53"/>
        <v>977.9</v>
      </c>
    </row>
    <row r="553" spans="1:16">
      <c r="A553" s="1">
        <v>552</v>
      </c>
      <c r="B553" s="1">
        <v>29</v>
      </c>
      <c r="C553" s="1" t="s">
        <v>18</v>
      </c>
      <c r="D553" s="1">
        <v>148.1</v>
      </c>
      <c r="E553" s="1">
        <v>41.6</v>
      </c>
      <c r="F553" s="1">
        <v>1933</v>
      </c>
      <c r="G553" s="1" t="s">
        <v>21</v>
      </c>
      <c r="H553" s="1">
        <v>1.725</v>
      </c>
      <c r="I553" s="1">
        <v>1.48099999999999</v>
      </c>
      <c r="J553" s="1">
        <v>18.9663261086524</v>
      </c>
      <c r="K553" t="str">
        <f t="shared" si="48"/>
        <v>没有热量缺口</v>
      </c>
      <c r="L553" s="2">
        <f t="shared" si="49"/>
        <v>1035.625</v>
      </c>
      <c r="M553" s="2">
        <f t="shared" si="50"/>
        <v>1786.453125</v>
      </c>
      <c r="N553" s="2">
        <f t="shared" si="51"/>
        <v>-146.546875</v>
      </c>
      <c r="O553" s="2">
        <f t="shared" si="52"/>
        <v>228.8</v>
      </c>
      <c r="P553" s="2">
        <f t="shared" si="53"/>
        <v>457.6</v>
      </c>
    </row>
    <row r="554" spans="1:16">
      <c r="A554" s="1">
        <v>553</v>
      </c>
      <c r="B554" s="1">
        <v>21</v>
      </c>
      <c r="C554" s="1" t="s">
        <v>18</v>
      </c>
      <c r="D554" s="1">
        <v>155.7</v>
      </c>
      <c r="E554" s="1">
        <v>66.4</v>
      </c>
      <c r="F554" s="1">
        <v>2232</v>
      </c>
      <c r="G554" s="1" t="s">
        <v>17</v>
      </c>
      <c r="H554" s="1">
        <v>1.375</v>
      </c>
      <c r="I554" s="1">
        <v>1.557</v>
      </c>
      <c r="J554" s="1">
        <v>27.3899257048265</v>
      </c>
      <c r="K554" t="str">
        <f t="shared" si="48"/>
        <v>没有热量缺口</v>
      </c>
      <c r="L554" s="2">
        <f t="shared" si="49"/>
        <v>1371.125</v>
      </c>
      <c r="M554" s="2">
        <f t="shared" si="50"/>
        <v>1885.296875</v>
      </c>
      <c r="N554" s="2">
        <f t="shared" si="51"/>
        <v>-346.703125</v>
      </c>
      <c r="O554" s="2">
        <f t="shared" si="52"/>
        <v>365.2</v>
      </c>
      <c r="P554" s="2">
        <f t="shared" si="53"/>
        <v>730.4</v>
      </c>
    </row>
    <row r="555" spans="1:16">
      <c r="A555" s="1">
        <v>554</v>
      </c>
      <c r="B555" s="1">
        <v>32</v>
      </c>
      <c r="C555" s="1" t="s">
        <v>18</v>
      </c>
      <c r="D555" s="1">
        <v>159.1</v>
      </c>
      <c r="E555" s="1">
        <v>79.9</v>
      </c>
      <c r="F555" s="1">
        <v>665</v>
      </c>
      <c r="G555" s="1" t="s">
        <v>17</v>
      </c>
      <c r="H555" s="1">
        <v>1.375</v>
      </c>
      <c r="I555" s="1">
        <v>1.591</v>
      </c>
      <c r="J555" s="1">
        <v>31.5650455243807</v>
      </c>
      <c r="K555" t="str">
        <f t="shared" si="48"/>
        <v>缺口过大</v>
      </c>
      <c r="L555" s="2">
        <f t="shared" si="49"/>
        <v>1472.375</v>
      </c>
      <c r="M555" s="2">
        <f t="shared" si="50"/>
        <v>2024.515625</v>
      </c>
      <c r="N555" s="2">
        <f t="shared" si="51"/>
        <v>1359.515625</v>
      </c>
      <c r="O555" s="2">
        <f t="shared" si="52"/>
        <v>439.45</v>
      </c>
      <c r="P555" s="2">
        <f t="shared" si="53"/>
        <v>878.9</v>
      </c>
    </row>
    <row r="556" spans="1:16">
      <c r="A556" s="1">
        <v>555</v>
      </c>
      <c r="B556" s="1">
        <v>26</v>
      </c>
      <c r="C556" s="1" t="s">
        <v>16</v>
      </c>
      <c r="D556" s="1">
        <v>168.4</v>
      </c>
      <c r="E556" s="1">
        <v>49.6</v>
      </c>
      <c r="F556" s="1">
        <v>1541</v>
      </c>
      <c r="G556" s="1" t="s">
        <v>17</v>
      </c>
      <c r="H556" s="1">
        <v>1.375</v>
      </c>
      <c r="I556" s="1">
        <v>1.684</v>
      </c>
      <c r="J556" s="1">
        <v>17.4903098041649</v>
      </c>
      <c r="K556" t="str">
        <f t="shared" si="48"/>
        <v>缺口合适</v>
      </c>
      <c r="L556" s="2">
        <f t="shared" si="49"/>
        <v>1423.5</v>
      </c>
      <c r="M556" s="2">
        <f t="shared" si="50"/>
        <v>1957.3125</v>
      </c>
      <c r="N556" s="2">
        <f t="shared" si="51"/>
        <v>416.3125</v>
      </c>
      <c r="O556" s="2">
        <f t="shared" si="52"/>
        <v>272.8</v>
      </c>
      <c r="P556" s="2">
        <f t="shared" si="53"/>
        <v>545.6</v>
      </c>
    </row>
    <row r="557" spans="1:16">
      <c r="A557" s="1">
        <v>556</v>
      </c>
      <c r="B557" s="1">
        <v>32</v>
      </c>
      <c r="C557" s="1" t="s">
        <v>16</v>
      </c>
      <c r="D557" s="1">
        <v>175.5</v>
      </c>
      <c r="E557" s="1">
        <v>89.7</v>
      </c>
      <c r="F557" s="1">
        <v>2561</v>
      </c>
      <c r="G557" s="1" t="s">
        <v>21</v>
      </c>
      <c r="H557" s="1">
        <v>1.725</v>
      </c>
      <c r="I557" s="1">
        <v>1.755</v>
      </c>
      <c r="J557" s="1">
        <v>29.1231402342513</v>
      </c>
      <c r="K557" t="str">
        <f t="shared" si="48"/>
        <v>缺口合适</v>
      </c>
      <c r="L557" s="2">
        <f t="shared" si="49"/>
        <v>1838.875</v>
      </c>
      <c r="M557" s="2">
        <f t="shared" si="50"/>
        <v>3172.059375</v>
      </c>
      <c r="N557" s="2">
        <f t="shared" si="51"/>
        <v>611.059375</v>
      </c>
      <c r="O557" s="2">
        <f t="shared" si="52"/>
        <v>493.35</v>
      </c>
      <c r="P557" s="2">
        <f t="shared" si="53"/>
        <v>986.7</v>
      </c>
    </row>
    <row r="558" spans="1:16">
      <c r="A558" s="1">
        <v>557</v>
      </c>
      <c r="B558" s="1">
        <v>24</v>
      </c>
      <c r="C558" s="1" t="s">
        <v>18</v>
      </c>
      <c r="D558" s="1">
        <v>155.1</v>
      </c>
      <c r="E558" s="1">
        <v>43.5</v>
      </c>
      <c r="F558" s="1">
        <v>1904</v>
      </c>
      <c r="G558" s="1" t="s">
        <v>19</v>
      </c>
      <c r="H558" s="1">
        <v>1.2</v>
      </c>
      <c r="I558" s="1">
        <v>1.551</v>
      </c>
      <c r="J558" s="1">
        <v>18.0827992672101</v>
      </c>
      <c r="K558" t="str">
        <f t="shared" si="48"/>
        <v>没有热量缺口</v>
      </c>
      <c r="L558" s="2">
        <f t="shared" si="49"/>
        <v>1123.375</v>
      </c>
      <c r="M558" s="2">
        <f t="shared" si="50"/>
        <v>1348.05</v>
      </c>
      <c r="N558" s="2">
        <f t="shared" si="51"/>
        <v>-555.95</v>
      </c>
      <c r="O558" s="2">
        <f t="shared" si="52"/>
        <v>239.25</v>
      </c>
      <c r="P558" s="2">
        <f t="shared" si="53"/>
        <v>478.5</v>
      </c>
    </row>
    <row r="559" spans="1:16">
      <c r="A559" s="1">
        <v>558</v>
      </c>
      <c r="B559" s="1">
        <v>30</v>
      </c>
      <c r="C559" s="1" t="s">
        <v>18</v>
      </c>
      <c r="D559" s="1">
        <v>171.3</v>
      </c>
      <c r="E559" s="1">
        <v>82.1</v>
      </c>
      <c r="F559" s="1">
        <v>1611</v>
      </c>
      <c r="G559" s="1" t="s">
        <v>17</v>
      </c>
      <c r="H559" s="1">
        <v>1.375</v>
      </c>
      <c r="I559" s="1">
        <v>1.713</v>
      </c>
      <c r="J559" s="1">
        <v>27.9787579544358</v>
      </c>
      <c r="K559" t="str">
        <f t="shared" si="48"/>
        <v>缺口合适</v>
      </c>
      <c r="L559" s="2">
        <f t="shared" si="49"/>
        <v>1580.625</v>
      </c>
      <c r="M559" s="2">
        <f t="shared" si="50"/>
        <v>2173.359375</v>
      </c>
      <c r="N559" s="2">
        <f t="shared" si="51"/>
        <v>562.359375</v>
      </c>
      <c r="O559" s="2">
        <f t="shared" si="52"/>
        <v>451.55</v>
      </c>
      <c r="P559" s="2">
        <f t="shared" si="53"/>
        <v>903.1</v>
      </c>
    </row>
    <row r="560" spans="1:16">
      <c r="A560" s="1">
        <v>559</v>
      </c>
      <c r="B560" s="1">
        <v>33</v>
      </c>
      <c r="C560" s="1" t="s">
        <v>18</v>
      </c>
      <c r="D560" s="1">
        <v>161.9</v>
      </c>
      <c r="E560" s="1">
        <v>128.2</v>
      </c>
      <c r="F560" s="1">
        <v>3426</v>
      </c>
      <c r="G560" s="1" t="s">
        <v>20</v>
      </c>
      <c r="H560" s="1">
        <v>1.55</v>
      </c>
      <c r="I560" s="1">
        <v>1.619</v>
      </c>
      <c r="J560" s="1">
        <v>48.9096243992642</v>
      </c>
      <c r="K560" t="str">
        <f t="shared" si="48"/>
        <v>没有热量缺口</v>
      </c>
      <c r="L560" s="2">
        <f t="shared" si="49"/>
        <v>1967.875</v>
      </c>
      <c r="M560" s="2">
        <f t="shared" si="50"/>
        <v>3050.20625</v>
      </c>
      <c r="N560" s="2">
        <f t="shared" si="51"/>
        <v>-375.79375</v>
      </c>
      <c r="O560" s="2">
        <f t="shared" si="52"/>
        <v>705.1</v>
      </c>
      <c r="P560" s="2">
        <f t="shared" si="53"/>
        <v>1410.2</v>
      </c>
    </row>
    <row r="561" spans="1:16">
      <c r="A561" s="1">
        <v>560</v>
      </c>
      <c r="B561" s="1">
        <v>21</v>
      </c>
      <c r="C561" s="1" t="s">
        <v>16</v>
      </c>
      <c r="D561" s="1">
        <v>171</v>
      </c>
      <c r="E561" s="1">
        <v>85.3</v>
      </c>
      <c r="F561" s="1">
        <v>1344</v>
      </c>
      <c r="G561" s="1" t="s">
        <v>21</v>
      </c>
      <c r="H561" s="1">
        <v>1.725</v>
      </c>
      <c r="I561" s="1">
        <v>1.71</v>
      </c>
      <c r="J561" s="1">
        <v>29.1713689682295</v>
      </c>
      <c r="K561" t="str">
        <f t="shared" si="48"/>
        <v>缺口过大</v>
      </c>
      <c r="L561" s="2">
        <f t="shared" si="49"/>
        <v>1821.75</v>
      </c>
      <c r="M561" s="2">
        <f t="shared" si="50"/>
        <v>3142.51875</v>
      </c>
      <c r="N561" s="2">
        <f t="shared" si="51"/>
        <v>1798.51875</v>
      </c>
      <c r="O561" s="2">
        <f t="shared" si="52"/>
        <v>469.15</v>
      </c>
      <c r="P561" s="2">
        <f t="shared" si="53"/>
        <v>938.3</v>
      </c>
    </row>
    <row r="562" spans="1:16">
      <c r="A562" s="1">
        <v>561</v>
      </c>
      <c r="B562" s="1">
        <v>27</v>
      </c>
      <c r="C562" s="1" t="s">
        <v>18</v>
      </c>
      <c r="D562" s="1">
        <v>162.7</v>
      </c>
      <c r="E562" s="1">
        <v>108.1</v>
      </c>
      <c r="F562" s="1">
        <v>2373</v>
      </c>
      <c r="G562" s="1" t="s">
        <v>17</v>
      </c>
      <c r="H562" s="1">
        <v>1.375</v>
      </c>
      <c r="I562" s="1">
        <v>1.62699999999999</v>
      </c>
      <c r="J562" s="1">
        <v>40.8366951516152</v>
      </c>
      <c r="K562" t="str">
        <f t="shared" si="48"/>
        <v>缺口过小</v>
      </c>
      <c r="L562" s="2">
        <f t="shared" si="49"/>
        <v>1801.875</v>
      </c>
      <c r="M562" s="2">
        <f t="shared" si="50"/>
        <v>2477.578125</v>
      </c>
      <c r="N562" s="2">
        <f t="shared" si="51"/>
        <v>104.578125</v>
      </c>
      <c r="O562" s="2">
        <f t="shared" si="52"/>
        <v>594.55</v>
      </c>
      <c r="P562" s="2">
        <f t="shared" si="53"/>
        <v>1189.1</v>
      </c>
    </row>
    <row r="563" spans="1:16">
      <c r="A563" s="1">
        <v>562</v>
      </c>
      <c r="B563" s="1">
        <v>32</v>
      </c>
      <c r="C563" s="1" t="s">
        <v>16</v>
      </c>
      <c r="D563" s="1">
        <v>174.8</v>
      </c>
      <c r="E563" s="1">
        <v>76.1</v>
      </c>
      <c r="F563" s="1">
        <v>2931</v>
      </c>
      <c r="G563" s="1" t="s">
        <v>19</v>
      </c>
      <c r="H563" s="1">
        <v>1.2</v>
      </c>
      <c r="I563" s="1">
        <v>1.748</v>
      </c>
      <c r="J563" s="1">
        <v>24.9058747754871</v>
      </c>
      <c r="K563" t="str">
        <f t="shared" si="48"/>
        <v>没有热量缺口</v>
      </c>
      <c r="L563" s="2">
        <f t="shared" si="49"/>
        <v>1698.5</v>
      </c>
      <c r="M563" s="2">
        <f t="shared" si="50"/>
        <v>2038.2</v>
      </c>
      <c r="N563" s="2">
        <f t="shared" si="51"/>
        <v>-892.8</v>
      </c>
      <c r="O563" s="2">
        <f t="shared" si="52"/>
        <v>418.55</v>
      </c>
      <c r="P563" s="2">
        <f t="shared" si="53"/>
        <v>837.1</v>
      </c>
    </row>
    <row r="564" spans="1:16">
      <c r="A564" s="1">
        <v>563</v>
      </c>
      <c r="B564" s="1">
        <v>28</v>
      </c>
      <c r="C564" s="1" t="s">
        <v>18</v>
      </c>
      <c r="D564" s="1">
        <v>147.4</v>
      </c>
      <c r="E564" s="1">
        <v>68.8</v>
      </c>
      <c r="F564" s="1">
        <v>2187</v>
      </c>
      <c r="G564" s="1" t="s">
        <v>17</v>
      </c>
      <c r="H564" s="1">
        <v>1.375</v>
      </c>
      <c r="I564" s="1">
        <v>1.474</v>
      </c>
      <c r="J564" s="1">
        <v>31.6660192315835</v>
      </c>
      <c r="K564" t="str">
        <f t="shared" si="48"/>
        <v>没有热量缺口</v>
      </c>
      <c r="L564" s="2">
        <f t="shared" si="49"/>
        <v>1308.25</v>
      </c>
      <c r="M564" s="2">
        <f t="shared" si="50"/>
        <v>1798.84375</v>
      </c>
      <c r="N564" s="2">
        <f t="shared" si="51"/>
        <v>-388.15625</v>
      </c>
      <c r="O564" s="2">
        <f t="shared" si="52"/>
        <v>378.4</v>
      </c>
      <c r="P564" s="2">
        <f t="shared" si="53"/>
        <v>756.8</v>
      </c>
    </row>
    <row r="565" spans="1:16">
      <c r="A565" s="1">
        <v>564</v>
      </c>
      <c r="B565" s="1">
        <v>25</v>
      </c>
      <c r="C565" s="1" t="s">
        <v>18</v>
      </c>
      <c r="D565" s="1">
        <v>158.5</v>
      </c>
      <c r="E565" s="1">
        <v>68</v>
      </c>
      <c r="F565" s="1">
        <v>2130</v>
      </c>
      <c r="G565" s="1" t="s">
        <v>17</v>
      </c>
      <c r="H565" s="1">
        <v>1.375</v>
      </c>
      <c r="I565" s="1">
        <v>1.585</v>
      </c>
      <c r="J565" s="1">
        <v>27.0676392440963</v>
      </c>
      <c r="K565" t="str">
        <f t="shared" si="48"/>
        <v>没有热量缺口</v>
      </c>
      <c r="L565" s="2">
        <f t="shared" si="49"/>
        <v>1384.625</v>
      </c>
      <c r="M565" s="2">
        <f t="shared" si="50"/>
        <v>1903.859375</v>
      </c>
      <c r="N565" s="2">
        <f t="shared" si="51"/>
        <v>-226.140625</v>
      </c>
      <c r="O565" s="2">
        <f t="shared" si="52"/>
        <v>374</v>
      </c>
      <c r="P565" s="2">
        <f t="shared" si="53"/>
        <v>748</v>
      </c>
    </row>
    <row r="566" spans="1:16">
      <c r="A566" s="1">
        <v>565</v>
      </c>
      <c r="B566" s="1">
        <v>26</v>
      </c>
      <c r="C566" s="1" t="s">
        <v>16</v>
      </c>
      <c r="D566" s="1">
        <v>174.3</v>
      </c>
      <c r="E566" s="1">
        <v>148.1</v>
      </c>
      <c r="F566" s="1">
        <v>1441</v>
      </c>
      <c r="G566" s="1" t="s">
        <v>21</v>
      </c>
      <c r="H566" s="1">
        <v>1.725</v>
      </c>
      <c r="I566" s="1">
        <v>1.743</v>
      </c>
      <c r="J566" s="1">
        <v>48.7483908258227</v>
      </c>
      <c r="K566" t="str">
        <f t="shared" si="48"/>
        <v>缺口过大</v>
      </c>
      <c r="L566" s="2">
        <f t="shared" si="49"/>
        <v>2445.375</v>
      </c>
      <c r="M566" s="2">
        <f t="shared" si="50"/>
        <v>4218.271875</v>
      </c>
      <c r="N566" s="2">
        <f t="shared" si="51"/>
        <v>2777.271875</v>
      </c>
      <c r="O566" s="2">
        <f t="shared" si="52"/>
        <v>814.55</v>
      </c>
      <c r="P566" s="2">
        <f t="shared" si="53"/>
        <v>1629.1</v>
      </c>
    </row>
    <row r="567" spans="1:16">
      <c r="A567" s="1">
        <v>566</v>
      </c>
      <c r="B567" s="1">
        <v>30</v>
      </c>
      <c r="C567" s="1" t="s">
        <v>16</v>
      </c>
      <c r="D567" s="1">
        <v>173.5</v>
      </c>
      <c r="E567" s="1">
        <v>89.7</v>
      </c>
      <c r="F567" s="1">
        <v>2117</v>
      </c>
      <c r="G567" s="1" t="s">
        <v>19</v>
      </c>
      <c r="H567" s="1">
        <v>1.2</v>
      </c>
      <c r="I567" s="1">
        <v>1.735</v>
      </c>
      <c r="J567" s="1">
        <v>29.7984369939124</v>
      </c>
      <c r="K567" t="str">
        <f t="shared" si="48"/>
        <v>缺口过小</v>
      </c>
      <c r="L567" s="2">
        <f t="shared" si="49"/>
        <v>1836.375</v>
      </c>
      <c r="M567" s="2">
        <f t="shared" si="50"/>
        <v>2203.65</v>
      </c>
      <c r="N567" s="2">
        <f t="shared" si="51"/>
        <v>86.6500000000001</v>
      </c>
      <c r="O567" s="2">
        <f t="shared" si="52"/>
        <v>493.35</v>
      </c>
      <c r="P567" s="2">
        <f t="shared" si="53"/>
        <v>986.7</v>
      </c>
    </row>
    <row r="568" spans="1:16">
      <c r="A568" s="1">
        <v>567</v>
      </c>
      <c r="B568" s="1">
        <v>23</v>
      </c>
      <c r="C568" s="1" t="s">
        <v>18</v>
      </c>
      <c r="D568" s="1">
        <v>166.8</v>
      </c>
      <c r="E568" s="1">
        <v>60.7</v>
      </c>
      <c r="F568" s="1">
        <v>1147</v>
      </c>
      <c r="G568" s="1" t="s">
        <v>20</v>
      </c>
      <c r="H568" s="1">
        <v>1.55</v>
      </c>
      <c r="I568" s="1">
        <v>1.668</v>
      </c>
      <c r="J568" s="1">
        <v>21.8170787111318</v>
      </c>
      <c r="K568" t="str">
        <f t="shared" si="48"/>
        <v>缺口过大</v>
      </c>
      <c r="L568" s="2">
        <f t="shared" si="49"/>
        <v>1373.5</v>
      </c>
      <c r="M568" s="2">
        <f t="shared" si="50"/>
        <v>2128.925</v>
      </c>
      <c r="N568" s="2">
        <f t="shared" si="51"/>
        <v>981.925</v>
      </c>
      <c r="O568" s="2">
        <f t="shared" si="52"/>
        <v>333.85</v>
      </c>
      <c r="P568" s="2">
        <f t="shared" si="53"/>
        <v>667.7</v>
      </c>
    </row>
    <row r="569" spans="1:16">
      <c r="A569" s="1">
        <v>568</v>
      </c>
      <c r="B569" s="1">
        <v>28</v>
      </c>
      <c r="C569" s="1" t="s">
        <v>18</v>
      </c>
      <c r="D569" s="1">
        <v>170.9</v>
      </c>
      <c r="E569" s="1">
        <v>74.4</v>
      </c>
      <c r="F569" s="1">
        <v>2040</v>
      </c>
      <c r="G569" s="1" t="s">
        <v>21</v>
      </c>
      <c r="H569" s="1">
        <v>1.725</v>
      </c>
      <c r="I569" s="1">
        <v>1.709</v>
      </c>
      <c r="J569" s="1">
        <v>25.4735111434627</v>
      </c>
      <c r="K569" t="str">
        <f t="shared" si="48"/>
        <v>缺口合适</v>
      </c>
      <c r="L569" s="2">
        <f t="shared" si="49"/>
        <v>1511.125</v>
      </c>
      <c r="M569" s="2">
        <f t="shared" si="50"/>
        <v>2606.690625</v>
      </c>
      <c r="N569" s="2">
        <f t="shared" si="51"/>
        <v>566.690625</v>
      </c>
      <c r="O569" s="2">
        <f t="shared" si="52"/>
        <v>409.2</v>
      </c>
      <c r="P569" s="2">
        <f t="shared" si="53"/>
        <v>818.4</v>
      </c>
    </row>
    <row r="570" spans="1:16">
      <c r="A570" s="1">
        <v>569</v>
      </c>
      <c r="B570" s="1">
        <v>30</v>
      </c>
      <c r="C570" s="1" t="s">
        <v>16</v>
      </c>
      <c r="D570" s="1">
        <v>181.1</v>
      </c>
      <c r="E570" s="1">
        <v>70.2</v>
      </c>
      <c r="F570" s="1">
        <v>1991</v>
      </c>
      <c r="G570" s="1" t="s">
        <v>21</v>
      </c>
      <c r="H570" s="1">
        <v>1.725</v>
      </c>
      <c r="I570" s="1">
        <v>1.811</v>
      </c>
      <c r="J570" s="1">
        <v>21.4042596916018</v>
      </c>
      <c r="K570" t="str">
        <f t="shared" si="48"/>
        <v>缺口过大</v>
      </c>
      <c r="L570" s="2">
        <f t="shared" si="49"/>
        <v>1688.875</v>
      </c>
      <c r="M570" s="2">
        <f t="shared" si="50"/>
        <v>2913.309375</v>
      </c>
      <c r="N570" s="2">
        <f t="shared" si="51"/>
        <v>922.309375</v>
      </c>
      <c r="O570" s="2">
        <f t="shared" si="52"/>
        <v>386.1</v>
      </c>
      <c r="P570" s="2">
        <f t="shared" si="53"/>
        <v>772.2</v>
      </c>
    </row>
    <row r="571" spans="1:16">
      <c r="A571" s="1">
        <v>570</v>
      </c>
      <c r="B571" s="1">
        <v>28</v>
      </c>
      <c r="C571" s="1" t="s">
        <v>18</v>
      </c>
      <c r="D571" s="1">
        <v>163.1</v>
      </c>
      <c r="E571" s="1">
        <v>100.3</v>
      </c>
      <c r="F571" s="1">
        <v>2021</v>
      </c>
      <c r="G571" s="1" t="s">
        <v>17</v>
      </c>
      <c r="H571" s="1">
        <v>1.375</v>
      </c>
      <c r="I571" s="1">
        <v>1.631</v>
      </c>
      <c r="J571" s="1">
        <v>37.7044848037393</v>
      </c>
      <c r="K571" t="str">
        <f t="shared" si="48"/>
        <v>缺口过小</v>
      </c>
      <c r="L571" s="2">
        <f t="shared" si="49"/>
        <v>1721.375</v>
      </c>
      <c r="M571" s="2">
        <f t="shared" si="50"/>
        <v>2366.890625</v>
      </c>
      <c r="N571" s="2">
        <f t="shared" si="51"/>
        <v>345.890625</v>
      </c>
      <c r="O571" s="2">
        <f t="shared" si="52"/>
        <v>551.65</v>
      </c>
      <c r="P571" s="2">
        <f t="shared" si="53"/>
        <v>1103.3</v>
      </c>
    </row>
    <row r="572" spans="1:16">
      <c r="A572" s="1">
        <v>571</v>
      </c>
      <c r="B572" s="1">
        <v>22</v>
      </c>
      <c r="C572" s="1" t="s">
        <v>16</v>
      </c>
      <c r="D572" s="1">
        <v>152.2</v>
      </c>
      <c r="E572" s="1">
        <v>63.5</v>
      </c>
      <c r="F572" s="1">
        <v>754</v>
      </c>
      <c r="G572" s="1" t="s">
        <v>17</v>
      </c>
      <c r="H572" s="1">
        <v>1.375</v>
      </c>
      <c r="I572" s="1">
        <v>1.52199999999999</v>
      </c>
      <c r="J572" s="1">
        <v>27.4122333674655</v>
      </c>
      <c r="K572" t="str">
        <f t="shared" si="48"/>
        <v>缺口过大</v>
      </c>
      <c r="L572" s="2">
        <f t="shared" si="49"/>
        <v>1481.25</v>
      </c>
      <c r="M572" s="2">
        <f t="shared" si="50"/>
        <v>2036.71875</v>
      </c>
      <c r="N572" s="2">
        <f t="shared" si="51"/>
        <v>1282.71875</v>
      </c>
      <c r="O572" s="2">
        <f t="shared" si="52"/>
        <v>349.25</v>
      </c>
      <c r="P572" s="2">
        <f t="shared" si="53"/>
        <v>698.5</v>
      </c>
    </row>
    <row r="573" spans="1:16">
      <c r="A573" s="1">
        <v>572</v>
      </c>
      <c r="B573" s="1">
        <v>22</v>
      </c>
      <c r="C573" s="1" t="s">
        <v>18</v>
      </c>
      <c r="D573" s="1">
        <v>169.1</v>
      </c>
      <c r="E573" s="1">
        <v>49.9</v>
      </c>
      <c r="F573" s="1">
        <v>1315</v>
      </c>
      <c r="G573" s="1" t="s">
        <v>21</v>
      </c>
      <c r="H573" s="1">
        <v>1.725</v>
      </c>
      <c r="I573" s="1">
        <v>1.69099999999999</v>
      </c>
      <c r="J573" s="1">
        <v>17.4507192039394</v>
      </c>
      <c r="K573" t="str">
        <f t="shared" si="48"/>
        <v>缺口过大</v>
      </c>
      <c r="L573" s="2">
        <f t="shared" si="49"/>
        <v>1284.875</v>
      </c>
      <c r="M573" s="2">
        <f t="shared" si="50"/>
        <v>2216.409375</v>
      </c>
      <c r="N573" s="2">
        <f t="shared" si="51"/>
        <v>901.409375</v>
      </c>
      <c r="O573" s="2">
        <f t="shared" si="52"/>
        <v>274.45</v>
      </c>
      <c r="P573" s="2">
        <f t="shared" si="53"/>
        <v>548.9</v>
      </c>
    </row>
    <row r="574" spans="1:16">
      <c r="A574" s="1">
        <v>573</v>
      </c>
      <c r="B574" s="1">
        <v>29</v>
      </c>
      <c r="C574" s="1" t="s">
        <v>16</v>
      </c>
      <c r="D574" s="1">
        <v>166.1</v>
      </c>
      <c r="E574" s="1">
        <v>68.2</v>
      </c>
      <c r="F574" s="1">
        <v>1375</v>
      </c>
      <c r="G574" s="1" t="s">
        <v>19</v>
      </c>
      <c r="H574" s="1">
        <v>1.2</v>
      </c>
      <c r="I574" s="1">
        <v>1.661</v>
      </c>
      <c r="J574" s="1">
        <v>24.7198089397992</v>
      </c>
      <c r="K574" t="str">
        <f t="shared" si="48"/>
        <v>缺口合适</v>
      </c>
      <c r="L574" s="2">
        <f t="shared" si="49"/>
        <v>1580.125</v>
      </c>
      <c r="M574" s="2">
        <f t="shared" si="50"/>
        <v>1896.15</v>
      </c>
      <c r="N574" s="2">
        <f t="shared" si="51"/>
        <v>521.15</v>
      </c>
      <c r="O574" s="2">
        <f t="shared" si="52"/>
        <v>375.1</v>
      </c>
      <c r="P574" s="2">
        <f t="shared" si="53"/>
        <v>750.2</v>
      </c>
    </row>
    <row r="575" spans="1:16">
      <c r="A575" s="1">
        <v>574</v>
      </c>
      <c r="B575" s="1">
        <v>29</v>
      </c>
      <c r="C575" s="1" t="s">
        <v>18</v>
      </c>
      <c r="D575" s="1">
        <v>171.2</v>
      </c>
      <c r="E575" s="1">
        <v>131.9</v>
      </c>
      <c r="F575" s="1">
        <v>2389</v>
      </c>
      <c r="G575" s="1" t="s">
        <v>20</v>
      </c>
      <c r="H575" s="1">
        <v>1.55</v>
      </c>
      <c r="I575" s="1">
        <v>1.712</v>
      </c>
      <c r="J575" s="1">
        <v>45.0025657262643</v>
      </c>
      <c r="K575" t="str">
        <f t="shared" si="48"/>
        <v>缺口合适</v>
      </c>
      <c r="L575" s="2">
        <f t="shared" si="49"/>
        <v>2083</v>
      </c>
      <c r="M575" s="2">
        <f t="shared" si="50"/>
        <v>3228.65</v>
      </c>
      <c r="N575" s="2">
        <f t="shared" si="51"/>
        <v>839.65</v>
      </c>
      <c r="O575" s="2">
        <f t="shared" si="52"/>
        <v>725.45</v>
      </c>
      <c r="P575" s="2">
        <f t="shared" si="53"/>
        <v>1450.9</v>
      </c>
    </row>
    <row r="576" spans="1:16">
      <c r="A576" s="1">
        <v>575</v>
      </c>
      <c r="B576" s="1">
        <v>26</v>
      </c>
      <c r="C576" s="1" t="s">
        <v>18</v>
      </c>
      <c r="D576" s="1">
        <v>160.4</v>
      </c>
      <c r="E576" s="1">
        <v>68.9</v>
      </c>
      <c r="F576" s="1">
        <v>607</v>
      </c>
      <c r="G576" s="1" t="s">
        <v>17</v>
      </c>
      <c r="H576" s="1">
        <v>1.375</v>
      </c>
      <c r="I576" s="1">
        <v>1.604</v>
      </c>
      <c r="J576" s="1">
        <v>26.7799951492838</v>
      </c>
      <c r="K576" t="str">
        <f t="shared" si="48"/>
        <v>缺口过大</v>
      </c>
      <c r="L576" s="2">
        <f t="shared" si="49"/>
        <v>1400.5</v>
      </c>
      <c r="M576" s="2">
        <f t="shared" si="50"/>
        <v>1925.6875</v>
      </c>
      <c r="N576" s="2">
        <f t="shared" si="51"/>
        <v>1318.6875</v>
      </c>
      <c r="O576" s="2">
        <f t="shared" si="52"/>
        <v>378.95</v>
      </c>
      <c r="P576" s="2">
        <f t="shared" si="53"/>
        <v>757.9</v>
      </c>
    </row>
    <row r="577" spans="1:16">
      <c r="A577" s="1">
        <v>576</v>
      </c>
      <c r="B577" s="1">
        <v>22</v>
      </c>
      <c r="C577" s="1" t="s">
        <v>18</v>
      </c>
      <c r="D577" s="1">
        <v>150.8</v>
      </c>
      <c r="E577" s="1">
        <v>72.5</v>
      </c>
      <c r="F577" s="1">
        <v>1979</v>
      </c>
      <c r="G577" s="1" t="s">
        <v>20</v>
      </c>
      <c r="H577" s="1">
        <v>1.55</v>
      </c>
      <c r="I577" s="1">
        <v>1.508</v>
      </c>
      <c r="J577" s="1">
        <v>31.88124872475</v>
      </c>
      <c r="K577" t="str">
        <f t="shared" si="48"/>
        <v>缺口过小</v>
      </c>
      <c r="L577" s="2">
        <f t="shared" si="49"/>
        <v>1396.5</v>
      </c>
      <c r="M577" s="2">
        <f t="shared" si="50"/>
        <v>2164.575</v>
      </c>
      <c r="N577" s="2">
        <f t="shared" si="51"/>
        <v>185.575</v>
      </c>
      <c r="O577" s="2">
        <f t="shared" si="52"/>
        <v>398.75</v>
      </c>
      <c r="P577" s="2">
        <f t="shared" si="53"/>
        <v>797.5</v>
      </c>
    </row>
    <row r="578" spans="1:16">
      <c r="A578" s="1">
        <v>577</v>
      </c>
      <c r="B578" s="1">
        <v>34</v>
      </c>
      <c r="C578" s="1" t="s">
        <v>18</v>
      </c>
      <c r="D578" s="1">
        <v>158.4</v>
      </c>
      <c r="E578" s="1">
        <v>102.5</v>
      </c>
      <c r="F578" s="1">
        <v>1067</v>
      </c>
      <c r="G578" s="1" t="s">
        <v>20</v>
      </c>
      <c r="H578" s="1">
        <v>1.55</v>
      </c>
      <c r="I578" s="1">
        <v>1.584</v>
      </c>
      <c r="J578" s="1">
        <v>40.85201765126</v>
      </c>
      <c r="K578" t="str">
        <f t="shared" ref="K578:K641" si="54">IF(N578&lt;=0,"没有热量缺口",IF(N578&lt;O578,"缺口过小",IF(N578&lt;=P578,"缺口合适","缺口过大")))</f>
        <v>缺口过大</v>
      </c>
      <c r="L578" s="2">
        <f t="shared" ref="L578:L641" si="55">IF(C578="male",10*E578+6.25*D578-5*B578+5,10*E578+6.25*D578-5*B578-161)</f>
        <v>1684</v>
      </c>
      <c r="M578" s="2">
        <f t="shared" ref="M578:M641" si="56">L578*H578</f>
        <v>2610.2</v>
      </c>
      <c r="N578" s="2">
        <f t="shared" ref="N578:N641" si="57">M578-F578</f>
        <v>1543.2</v>
      </c>
      <c r="O578" s="2">
        <f t="shared" ref="O578:O641" si="58">E578*0.005*7700/7</f>
        <v>563.75</v>
      </c>
      <c r="P578" s="2">
        <f t="shared" ref="P578:P641" si="59">E578*0.01*7700/7</f>
        <v>1127.5</v>
      </c>
    </row>
    <row r="579" spans="1:16">
      <c r="A579" s="1">
        <v>578</v>
      </c>
      <c r="B579" s="1">
        <v>28</v>
      </c>
      <c r="C579" s="1" t="s">
        <v>18</v>
      </c>
      <c r="D579" s="1">
        <v>164.6</v>
      </c>
      <c r="E579" s="1">
        <v>115.1</v>
      </c>
      <c r="F579" s="1">
        <v>736</v>
      </c>
      <c r="G579" s="1" t="s">
        <v>17</v>
      </c>
      <c r="H579" s="1">
        <v>1.375</v>
      </c>
      <c r="I579" s="1">
        <v>1.646</v>
      </c>
      <c r="J579" s="1">
        <v>42.4830473817007</v>
      </c>
      <c r="K579" t="str">
        <f t="shared" si="54"/>
        <v>缺口过大</v>
      </c>
      <c r="L579" s="2">
        <f t="shared" si="55"/>
        <v>1878.75</v>
      </c>
      <c r="M579" s="2">
        <f t="shared" si="56"/>
        <v>2583.28125</v>
      </c>
      <c r="N579" s="2">
        <f t="shared" si="57"/>
        <v>1847.28125</v>
      </c>
      <c r="O579" s="2">
        <f t="shared" si="58"/>
        <v>633.05</v>
      </c>
      <c r="P579" s="2">
        <f t="shared" si="59"/>
        <v>1266.1</v>
      </c>
    </row>
    <row r="580" spans="1:16">
      <c r="A580" s="1">
        <v>579</v>
      </c>
      <c r="B580" s="1">
        <v>28</v>
      </c>
      <c r="C580" s="1" t="s">
        <v>16</v>
      </c>
      <c r="D580" s="1">
        <v>176.8</v>
      </c>
      <c r="E580" s="1">
        <v>86</v>
      </c>
      <c r="F580" s="1">
        <v>2252</v>
      </c>
      <c r="G580" s="1" t="s">
        <v>20</v>
      </c>
      <c r="H580" s="1">
        <v>1.55</v>
      </c>
      <c r="I580" s="1">
        <v>1.768</v>
      </c>
      <c r="J580" s="1">
        <v>27.5127454392825</v>
      </c>
      <c r="K580" t="str">
        <f t="shared" si="54"/>
        <v>缺口合适</v>
      </c>
      <c r="L580" s="2">
        <f t="shared" si="55"/>
        <v>1830</v>
      </c>
      <c r="M580" s="2">
        <f t="shared" si="56"/>
        <v>2836.5</v>
      </c>
      <c r="N580" s="2">
        <f t="shared" si="57"/>
        <v>584.5</v>
      </c>
      <c r="O580" s="2">
        <f t="shared" si="58"/>
        <v>473</v>
      </c>
      <c r="P580" s="2">
        <f t="shared" si="59"/>
        <v>946</v>
      </c>
    </row>
    <row r="581" spans="1:16">
      <c r="A581" s="1">
        <v>580</v>
      </c>
      <c r="B581" s="1">
        <v>34</v>
      </c>
      <c r="C581" s="1" t="s">
        <v>16</v>
      </c>
      <c r="D581" s="1">
        <v>177</v>
      </c>
      <c r="E581" s="1">
        <v>81.2</v>
      </c>
      <c r="F581" s="1">
        <v>3619</v>
      </c>
      <c r="G581" s="1" t="s">
        <v>21</v>
      </c>
      <c r="H581" s="1">
        <v>1.725</v>
      </c>
      <c r="I581" s="1">
        <v>1.77</v>
      </c>
      <c r="J581" s="1">
        <v>25.918478087395</v>
      </c>
      <c r="K581" t="str">
        <f t="shared" si="54"/>
        <v>没有热量缺口</v>
      </c>
      <c r="L581" s="2">
        <f t="shared" si="55"/>
        <v>1753.25</v>
      </c>
      <c r="M581" s="2">
        <f t="shared" si="56"/>
        <v>3024.35625</v>
      </c>
      <c r="N581" s="2">
        <f t="shared" si="57"/>
        <v>-594.64375</v>
      </c>
      <c r="O581" s="2">
        <f t="shared" si="58"/>
        <v>446.6</v>
      </c>
      <c r="P581" s="2">
        <f t="shared" si="59"/>
        <v>893.2</v>
      </c>
    </row>
    <row r="582" spans="1:16">
      <c r="A582" s="1">
        <v>581</v>
      </c>
      <c r="B582" s="1">
        <v>24</v>
      </c>
      <c r="C582" s="1" t="s">
        <v>16</v>
      </c>
      <c r="D582" s="1">
        <v>176.4</v>
      </c>
      <c r="E582" s="1">
        <v>80.4</v>
      </c>
      <c r="F582" s="1">
        <v>2024</v>
      </c>
      <c r="G582" s="1" t="s">
        <v>21</v>
      </c>
      <c r="H582" s="1">
        <v>1.725</v>
      </c>
      <c r="I582" s="1">
        <v>1.764</v>
      </c>
      <c r="J582" s="1">
        <v>25.8379995989325</v>
      </c>
      <c r="K582" t="str">
        <f t="shared" si="54"/>
        <v>缺口过大</v>
      </c>
      <c r="L582" s="2">
        <f t="shared" si="55"/>
        <v>1791.5</v>
      </c>
      <c r="M582" s="2">
        <f t="shared" si="56"/>
        <v>3090.3375</v>
      </c>
      <c r="N582" s="2">
        <f t="shared" si="57"/>
        <v>1066.3375</v>
      </c>
      <c r="O582" s="2">
        <f t="shared" si="58"/>
        <v>442.2</v>
      </c>
      <c r="P582" s="2">
        <f t="shared" si="59"/>
        <v>884.4</v>
      </c>
    </row>
    <row r="583" spans="1:16">
      <c r="A583" s="1">
        <v>582</v>
      </c>
      <c r="B583" s="1">
        <v>33</v>
      </c>
      <c r="C583" s="1" t="s">
        <v>16</v>
      </c>
      <c r="D583" s="1">
        <v>164.6</v>
      </c>
      <c r="E583" s="1">
        <v>89.6</v>
      </c>
      <c r="F583" s="1">
        <v>1977</v>
      </c>
      <c r="G583" s="1" t="s">
        <v>19</v>
      </c>
      <c r="H583" s="1">
        <v>1.2</v>
      </c>
      <c r="I583" s="1">
        <v>1.646</v>
      </c>
      <c r="J583" s="1">
        <v>33.071077718509</v>
      </c>
      <c r="K583" t="str">
        <f t="shared" si="54"/>
        <v>缺口过小</v>
      </c>
      <c r="L583" s="2">
        <f t="shared" si="55"/>
        <v>1764.75</v>
      </c>
      <c r="M583" s="2">
        <f t="shared" si="56"/>
        <v>2117.7</v>
      </c>
      <c r="N583" s="2">
        <f t="shared" si="57"/>
        <v>140.7</v>
      </c>
      <c r="O583" s="2">
        <f t="shared" si="58"/>
        <v>492.8</v>
      </c>
      <c r="P583" s="2">
        <f t="shared" si="59"/>
        <v>985.6</v>
      </c>
    </row>
    <row r="584" spans="1:16">
      <c r="A584" s="1">
        <v>583</v>
      </c>
      <c r="B584" s="1">
        <v>24</v>
      </c>
      <c r="C584" s="1" t="s">
        <v>18</v>
      </c>
      <c r="D584" s="1">
        <v>161.2</v>
      </c>
      <c r="E584" s="1">
        <v>133.1</v>
      </c>
      <c r="F584" s="1">
        <v>3669</v>
      </c>
      <c r="G584" s="1" t="s">
        <v>17</v>
      </c>
      <c r="H584" s="1">
        <v>1.375</v>
      </c>
      <c r="I584" s="1">
        <v>1.61199999999999</v>
      </c>
      <c r="J584" s="1">
        <v>51.2209914475183</v>
      </c>
      <c r="K584" t="str">
        <f t="shared" si="54"/>
        <v>没有热量缺口</v>
      </c>
      <c r="L584" s="2">
        <f t="shared" si="55"/>
        <v>2057.5</v>
      </c>
      <c r="M584" s="2">
        <f t="shared" si="56"/>
        <v>2829.0625</v>
      </c>
      <c r="N584" s="2">
        <f t="shared" si="57"/>
        <v>-839.9375</v>
      </c>
      <c r="O584" s="2">
        <f t="shared" si="58"/>
        <v>732.05</v>
      </c>
      <c r="P584" s="2">
        <f t="shared" si="59"/>
        <v>1464.1</v>
      </c>
    </row>
    <row r="585" spans="1:16">
      <c r="A585" s="1">
        <v>584</v>
      </c>
      <c r="B585" s="1">
        <v>33</v>
      </c>
      <c r="C585" s="1" t="s">
        <v>18</v>
      </c>
      <c r="D585" s="1">
        <v>170.2</v>
      </c>
      <c r="E585" s="1">
        <v>65.9</v>
      </c>
      <c r="F585" s="1">
        <v>1891</v>
      </c>
      <c r="G585" s="1" t="s">
        <v>20</v>
      </c>
      <c r="H585" s="1">
        <v>1.55</v>
      </c>
      <c r="I585" s="1">
        <v>1.702</v>
      </c>
      <c r="J585" s="1">
        <v>22.7492091284049</v>
      </c>
      <c r="K585" t="str">
        <f t="shared" si="54"/>
        <v>缺口过小</v>
      </c>
      <c r="L585" s="2">
        <f t="shared" si="55"/>
        <v>1396.75</v>
      </c>
      <c r="M585" s="2">
        <f t="shared" si="56"/>
        <v>2164.9625</v>
      </c>
      <c r="N585" s="2">
        <f t="shared" si="57"/>
        <v>273.9625</v>
      </c>
      <c r="O585" s="2">
        <f t="shared" si="58"/>
        <v>362.45</v>
      </c>
      <c r="P585" s="2">
        <f t="shared" si="59"/>
        <v>724.9</v>
      </c>
    </row>
    <row r="586" spans="1:16">
      <c r="A586" s="1">
        <v>585</v>
      </c>
      <c r="B586" s="1">
        <v>22</v>
      </c>
      <c r="C586" s="1" t="s">
        <v>18</v>
      </c>
      <c r="D586" s="1">
        <v>154.4</v>
      </c>
      <c r="E586" s="1">
        <v>53.6</v>
      </c>
      <c r="F586" s="1">
        <v>2189</v>
      </c>
      <c r="G586" s="1" t="s">
        <v>21</v>
      </c>
      <c r="H586" s="1">
        <v>1.725</v>
      </c>
      <c r="I586" s="1">
        <v>1.544</v>
      </c>
      <c r="J586" s="1">
        <v>22.4838250691293</v>
      </c>
      <c r="K586" t="str">
        <f t="shared" si="54"/>
        <v>没有热量缺口</v>
      </c>
      <c r="L586" s="2">
        <f t="shared" si="55"/>
        <v>1230</v>
      </c>
      <c r="M586" s="2">
        <f t="shared" si="56"/>
        <v>2121.75</v>
      </c>
      <c r="N586" s="2">
        <f t="shared" si="57"/>
        <v>-67.25</v>
      </c>
      <c r="O586" s="2">
        <f t="shared" si="58"/>
        <v>294.8</v>
      </c>
      <c r="P586" s="2">
        <f t="shared" si="59"/>
        <v>589.6</v>
      </c>
    </row>
    <row r="587" spans="1:16">
      <c r="A587" s="1">
        <v>586</v>
      </c>
      <c r="B587" s="1">
        <v>27</v>
      </c>
      <c r="C587" s="1" t="s">
        <v>16</v>
      </c>
      <c r="D587" s="1">
        <v>177.3</v>
      </c>
      <c r="E587" s="1">
        <v>91.8</v>
      </c>
      <c r="F587" s="1">
        <v>10446</v>
      </c>
      <c r="G587" s="1" t="s">
        <v>20</v>
      </c>
      <c r="H587" s="1">
        <v>1.55</v>
      </c>
      <c r="I587" s="1">
        <v>1.773</v>
      </c>
      <c r="J587" s="1">
        <v>29.2028481366006</v>
      </c>
      <c r="K587" t="str">
        <f t="shared" si="54"/>
        <v>没有热量缺口</v>
      </c>
      <c r="L587" s="2">
        <f t="shared" si="55"/>
        <v>1896.125</v>
      </c>
      <c r="M587" s="2">
        <f t="shared" si="56"/>
        <v>2938.99375</v>
      </c>
      <c r="N587" s="2">
        <f t="shared" si="57"/>
        <v>-7507.00625</v>
      </c>
      <c r="O587" s="2">
        <f t="shared" si="58"/>
        <v>504.9</v>
      </c>
      <c r="P587" s="2">
        <f t="shared" si="59"/>
        <v>1009.8</v>
      </c>
    </row>
    <row r="588" spans="1:16">
      <c r="A588" s="1">
        <v>587</v>
      </c>
      <c r="B588" s="1">
        <v>27</v>
      </c>
      <c r="C588" s="1" t="s">
        <v>16</v>
      </c>
      <c r="D588" s="1">
        <v>173.7</v>
      </c>
      <c r="E588" s="1">
        <v>73.3</v>
      </c>
      <c r="F588" s="1">
        <v>2274</v>
      </c>
      <c r="G588" s="1" t="s">
        <v>21</v>
      </c>
      <c r="H588" s="1">
        <v>1.725</v>
      </c>
      <c r="I588" s="1">
        <v>1.73699999999999</v>
      </c>
      <c r="J588" s="1">
        <v>24.2942970711948</v>
      </c>
      <c r="K588" t="str">
        <f t="shared" si="54"/>
        <v>缺口合适</v>
      </c>
      <c r="L588" s="2">
        <f t="shared" si="55"/>
        <v>1688.625</v>
      </c>
      <c r="M588" s="2">
        <f t="shared" si="56"/>
        <v>2912.878125</v>
      </c>
      <c r="N588" s="2">
        <f t="shared" si="57"/>
        <v>638.878125</v>
      </c>
      <c r="O588" s="2">
        <f t="shared" si="58"/>
        <v>403.15</v>
      </c>
      <c r="P588" s="2">
        <f t="shared" si="59"/>
        <v>806.3</v>
      </c>
    </row>
    <row r="589" spans="1:16">
      <c r="A589" s="1">
        <v>588</v>
      </c>
      <c r="B589" s="1">
        <v>33</v>
      </c>
      <c r="C589" s="1" t="s">
        <v>16</v>
      </c>
      <c r="D589" s="1">
        <v>173.5</v>
      </c>
      <c r="E589" s="1">
        <v>58.8</v>
      </c>
      <c r="F589" s="1">
        <v>1228</v>
      </c>
      <c r="G589" s="1" t="s">
        <v>19</v>
      </c>
      <c r="H589" s="1">
        <v>1.2</v>
      </c>
      <c r="I589" s="1">
        <v>1.735</v>
      </c>
      <c r="J589" s="1">
        <v>19.5334235812937</v>
      </c>
      <c r="K589" t="str">
        <f t="shared" si="54"/>
        <v>缺口合适</v>
      </c>
      <c r="L589" s="2">
        <f t="shared" si="55"/>
        <v>1512.375</v>
      </c>
      <c r="M589" s="2">
        <f t="shared" si="56"/>
        <v>1814.85</v>
      </c>
      <c r="N589" s="2">
        <f t="shared" si="57"/>
        <v>586.85</v>
      </c>
      <c r="O589" s="2">
        <f t="shared" si="58"/>
        <v>323.4</v>
      </c>
      <c r="P589" s="2">
        <f t="shared" si="59"/>
        <v>646.8</v>
      </c>
    </row>
    <row r="590" spans="1:16">
      <c r="A590" s="1">
        <v>589</v>
      </c>
      <c r="B590" s="1">
        <v>23</v>
      </c>
      <c r="C590" s="1" t="s">
        <v>18</v>
      </c>
      <c r="D590" s="1">
        <v>165.7</v>
      </c>
      <c r="E590" s="1">
        <v>142.2</v>
      </c>
      <c r="F590" s="1">
        <v>1077</v>
      </c>
      <c r="G590" s="1" t="s">
        <v>17</v>
      </c>
      <c r="H590" s="1">
        <v>1.375</v>
      </c>
      <c r="I590" s="1">
        <v>1.65699999999999</v>
      </c>
      <c r="J590" s="1">
        <v>51.7910337410208</v>
      </c>
      <c r="K590" t="str">
        <f t="shared" si="54"/>
        <v>缺口过大</v>
      </c>
      <c r="L590" s="2">
        <f t="shared" si="55"/>
        <v>2181.625</v>
      </c>
      <c r="M590" s="2">
        <f t="shared" si="56"/>
        <v>2999.734375</v>
      </c>
      <c r="N590" s="2">
        <f t="shared" si="57"/>
        <v>1922.734375</v>
      </c>
      <c r="O590" s="2">
        <f t="shared" si="58"/>
        <v>782.1</v>
      </c>
      <c r="P590" s="2">
        <f t="shared" si="59"/>
        <v>1564.2</v>
      </c>
    </row>
    <row r="591" spans="1:16">
      <c r="A591" s="1">
        <v>590</v>
      </c>
      <c r="B591" s="1">
        <v>30</v>
      </c>
      <c r="C591" s="1" t="s">
        <v>18</v>
      </c>
      <c r="D591" s="1">
        <v>174.5</v>
      </c>
      <c r="E591" s="1">
        <v>107.3</v>
      </c>
      <c r="F591" s="1">
        <v>2792</v>
      </c>
      <c r="G591" s="1" t="s">
        <v>21</v>
      </c>
      <c r="H591" s="1">
        <v>1.725</v>
      </c>
      <c r="I591" s="1">
        <v>1.745</v>
      </c>
      <c r="J591" s="1">
        <v>35.2378059293437</v>
      </c>
      <c r="K591" t="str">
        <f t="shared" si="54"/>
        <v>缺口过小</v>
      </c>
      <c r="L591" s="2">
        <f t="shared" si="55"/>
        <v>1852.625</v>
      </c>
      <c r="M591" s="2">
        <f t="shared" si="56"/>
        <v>3195.778125</v>
      </c>
      <c r="N591" s="2">
        <f t="shared" si="57"/>
        <v>403.778125</v>
      </c>
      <c r="O591" s="2">
        <f t="shared" si="58"/>
        <v>590.15</v>
      </c>
      <c r="P591" s="2">
        <f t="shared" si="59"/>
        <v>1180.3</v>
      </c>
    </row>
    <row r="592" spans="1:16">
      <c r="A592" s="1">
        <v>591</v>
      </c>
      <c r="B592" s="1">
        <v>27</v>
      </c>
      <c r="C592" s="1" t="s">
        <v>18</v>
      </c>
      <c r="D592" s="1">
        <v>178.6</v>
      </c>
      <c r="E592" s="1">
        <v>105.8</v>
      </c>
      <c r="F592" s="1">
        <v>2720</v>
      </c>
      <c r="G592" s="1" t="s">
        <v>19</v>
      </c>
      <c r="H592" s="1">
        <v>1.2</v>
      </c>
      <c r="I592" s="1">
        <v>1.786</v>
      </c>
      <c r="J592" s="1">
        <v>33.1682653059944</v>
      </c>
      <c r="K592" t="str">
        <f t="shared" si="54"/>
        <v>没有热量缺口</v>
      </c>
      <c r="L592" s="2">
        <f t="shared" si="55"/>
        <v>1878.25</v>
      </c>
      <c r="M592" s="2">
        <f t="shared" si="56"/>
        <v>2253.9</v>
      </c>
      <c r="N592" s="2">
        <f t="shared" si="57"/>
        <v>-466.1</v>
      </c>
      <c r="O592" s="2">
        <f t="shared" si="58"/>
        <v>581.9</v>
      </c>
      <c r="P592" s="2">
        <f t="shared" si="59"/>
        <v>1163.8</v>
      </c>
    </row>
    <row r="593" spans="1:16">
      <c r="A593" s="1">
        <v>592</v>
      </c>
      <c r="B593" s="1">
        <v>25</v>
      </c>
      <c r="C593" s="1" t="s">
        <v>18</v>
      </c>
      <c r="D593" s="1">
        <v>158.2</v>
      </c>
      <c r="E593" s="1">
        <v>93.3</v>
      </c>
      <c r="F593" s="1">
        <v>1167</v>
      </c>
      <c r="G593" s="1" t="s">
        <v>21</v>
      </c>
      <c r="H593" s="1">
        <v>1.725</v>
      </c>
      <c r="I593" s="1">
        <v>1.58199999999999</v>
      </c>
      <c r="J593" s="1">
        <v>37.2793803871301</v>
      </c>
      <c r="K593" t="str">
        <f t="shared" si="54"/>
        <v>缺口过大</v>
      </c>
      <c r="L593" s="2">
        <f t="shared" si="55"/>
        <v>1635.75</v>
      </c>
      <c r="M593" s="2">
        <f t="shared" si="56"/>
        <v>2821.66875</v>
      </c>
      <c r="N593" s="2">
        <f t="shared" si="57"/>
        <v>1654.66875</v>
      </c>
      <c r="O593" s="2">
        <f t="shared" si="58"/>
        <v>513.15</v>
      </c>
      <c r="P593" s="2">
        <f t="shared" si="59"/>
        <v>1026.3</v>
      </c>
    </row>
    <row r="594" spans="1:16">
      <c r="A594" s="1">
        <v>593</v>
      </c>
      <c r="B594" s="1">
        <v>29</v>
      </c>
      <c r="C594" s="1" t="s">
        <v>18</v>
      </c>
      <c r="D594" s="1">
        <v>165.1</v>
      </c>
      <c r="E594" s="1">
        <v>59.4</v>
      </c>
      <c r="F594" s="1">
        <v>3097</v>
      </c>
      <c r="G594" s="1" t="s">
        <v>17</v>
      </c>
      <c r="H594" s="1">
        <v>1.375</v>
      </c>
      <c r="I594" s="1">
        <v>1.651</v>
      </c>
      <c r="J594" s="1">
        <v>21.7917595598504</v>
      </c>
      <c r="K594" t="str">
        <f t="shared" si="54"/>
        <v>没有热量缺口</v>
      </c>
      <c r="L594" s="2">
        <f t="shared" si="55"/>
        <v>1319.875</v>
      </c>
      <c r="M594" s="2">
        <f t="shared" si="56"/>
        <v>1814.828125</v>
      </c>
      <c r="N594" s="2">
        <f t="shared" si="57"/>
        <v>-1282.171875</v>
      </c>
      <c r="O594" s="2">
        <f t="shared" si="58"/>
        <v>326.7</v>
      </c>
      <c r="P594" s="2">
        <f t="shared" si="59"/>
        <v>653.4</v>
      </c>
    </row>
    <row r="595" spans="1:16">
      <c r="A595" s="1">
        <v>594</v>
      </c>
      <c r="B595" s="1">
        <v>35</v>
      </c>
      <c r="C595" s="1" t="s">
        <v>18</v>
      </c>
      <c r="D595" s="1">
        <v>154.8</v>
      </c>
      <c r="E595" s="1">
        <v>70.3</v>
      </c>
      <c r="F595" s="1">
        <v>1790</v>
      </c>
      <c r="G595" s="1" t="s">
        <v>17</v>
      </c>
      <c r="H595" s="1">
        <v>1.375</v>
      </c>
      <c r="I595" s="1">
        <v>1.548</v>
      </c>
      <c r="J595" s="1">
        <v>29.3368454085959</v>
      </c>
      <c r="K595" t="str">
        <f t="shared" si="54"/>
        <v>缺口过小</v>
      </c>
      <c r="L595" s="2">
        <f t="shared" si="55"/>
        <v>1334.5</v>
      </c>
      <c r="M595" s="2">
        <f t="shared" si="56"/>
        <v>1834.9375</v>
      </c>
      <c r="N595" s="2">
        <f t="shared" si="57"/>
        <v>44.9375</v>
      </c>
      <c r="O595" s="2">
        <f t="shared" si="58"/>
        <v>386.65</v>
      </c>
      <c r="P595" s="2">
        <f t="shared" si="59"/>
        <v>773.3</v>
      </c>
    </row>
    <row r="596" spans="1:16">
      <c r="A596" s="1">
        <v>595</v>
      </c>
      <c r="B596" s="1">
        <v>24</v>
      </c>
      <c r="C596" s="1" t="s">
        <v>16</v>
      </c>
      <c r="D596" s="1">
        <v>173.7</v>
      </c>
      <c r="E596" s="1">
        <v>70.4</v>
      </c>
      <c r="F596" s="1">
        <v>3456</v>
      </c>
      <c r="G596" s="1" t="s">
        <v>19</v>
      </c>
      <c r="H596" s="1">
        <v>1.2</v>
      </c>
      <c r="I596" s="1">
        <v>1.73699999999999</v>
      </c>
      <c r="J596" s="1">
        <v>23.3331311570548</v>
      </c>
      <c r="K596" t="str">
        <f t="shared" si="54"/>
        <v>没有热量缺口</v>
      </c>
      <c r="L596" s="2">
        <f t="shared" si="55"/>
        <v>1674.625</v>
      </c>
      <c r="M596" s="2">
        <f t="shared" si="56"/>
        <v>2009.55</v>
      </c>
      <c r="N596" s="2">
        <f t="shared" si="57"/>
        <v>-1446.45</v>
      </c>
      <c r="O596" s="2">
        <f t="shared" si="58"/>
        <v>387.2</v>
      </c>
      <c r="P596" s="2">
        <f t="shared" si="59"/>
        <v>774.4</v>
      </c>
    </row>
    <row r="597" spans="1:16">
      <c r="A597" s="1">
        <v>596</v>
      </c>
      <c r="B597" s="1">
        <v>27</v>
      </c>
      <c r="C597" s="1" t="s">
        <v>18</v>
      </c>
      <c r="D597" s="1">
        <v>159.1</v>
      </c>
      <c r="E597" s="1">
        <v>61.6</v>
      </c>
      <c r="F597" s="1">
        <v>1855</v>
      </c>
      <c r="G597" s="1" t="s">
        <v>21</v>
      </c>
      <c r="H597" s="1">
        <v>1.725</v>
      </c>
      <c r="I597" s="1">
        <v>1.591</v>
      </c>
      <c r="J597" s="1">
        <v>24.335504434316</v>
      </c>
      <c r="K597" t="str">
        <f t="shared" si="54"/>
        <v>缺口合适</v>
      </c>
      <c r="L597" s="2">
        <f t="shared" si="55"/>
        <v>1314.375</v>
      </c>
      <c r="M597" s="2">
        <f t="shared" si="56"/>
        <v>2267.296875</v>
      </c>
      <c r="N597" s="2">
        <f t="shared" si="57"/>
        <v>412.296875</v>
      </c>
      <c r="O597" s="2">
        <f t="shared" si="58"/>
        <v>338.8</v>
      </c>
      <c r="P597" s="2">
        <f t="shared" si="59"/>
        <v>677.6</v>
      </c>
    </row>
    <row r="598" spans="1:16">
      <c r="A598" s="1">
        <v>597</v>
      </c>
      <c r="B598" s="1">
        <v>32</v>
      </c>
      <c r="C598" s="1" t="s">
        <v>16</v>
      </c>
      <c r="D598" s="1">
        <v>191.4</v>
      </c>
      <c r="E598" s="1">
        <v>78.7</v>
      </c>
      <c r="F598" s="1">
        <v>1405</v>
      </c>
      <c r="G598" s="1" t="s">
        <v>20</v>
      </c>
      <c r="H598" s="1">
        <v>1.55</v>
      </c>
      <c r="I598" s="1">
        <v>1.914</v>
      </c>
      <c r="J598" s="1">
        <v>21.4827990203625</v>
      </c>
      <c r="K598" t="str">
        <f t="shared" si="54"/>
        <v>缺口过大</v>
      </c>
      <c r="L598" s="2">
        <f t="shared" si="55"/>
        <v>1828.25</v>
      </c>
      <c r="M598" s="2">
        <f t="shared" si="56"/>
        <v>2833.7875</v>
      </c>
      <c r="N598" s="2">
        <f t="shared" si="57"/>
        <v>1428.7875</v>
      </c>
      <c r="O598" s="2">
        <f t="shared" si="58"/>
        <v>432.85</v>
      </c>
      <c r="P598" s="2">
        <f t="shared" si="59"/>
        <v>865.7</v>
      </c>
    </row>
    <row r="599" spans="1:16">
      <c r="A599" s="1">
        <v>598</v>
      </c>
      <c r="B599" s="1">
        <v>28</v>
      </c>
      <c r="C599" s="1" t="s">
        <v>18</v>
      </c>
      <c r="D599" s="1">
        <v>154.3</v>
      </c>
      <c r="E599" s="1">
        <v>120.7</v>
      </c>
      <c r="F599" s="1">
        <v>2382</v>
      </c>
      <c r="G599" s="1" t="s">
        <v>17</v>
      </c>
      <c r="H599" s="1">
        <v>1.375</v>
      </c>
      <c r="I599" s="1">
        <v>1.543</v>
      </c>
      <c r="J599" s="1">
        <v>50.6962012290573</v>
      </c>
      <c r="K599" t="str">
        <f t="shared" si="54"/>
        <v>缺口过小</v>
      </c>
      <c r="L599" s="2">
        <f t="shared" si="55"/>
        <v>1870.375</v>
      </c>
      <c r="M599" s="2">
        <f t="shared" si="56"/>
        <v>2571.765625</v>
      </c>
      <c r="N599" s="2">
        <f t="shared" si="57"/>
        <v>189.765625</v>
      </c>
      <c r="O599" s="2">
        <f t="shared" si="58"/>
        <v>663.85</v>
      </c>
      <c r="P599" s="2">
        <f t="shared" si="59"/>
        <v>1327.7</v>
      </c>
    </row>
    <row r="600" spans="1:16">
      <c r="A600" s="1">
        <v>599</v>
      </c>
      <c r="B600" s="1">
        <v>21</v>
      </c>
      <c r="C600" s="1" t="s">
        <v>16</v>
      </c>
      <c r="D600" s="1">
        <v>173.6</v>
      </c>
      <c r="E600" s="1">
        <v>67.9</v>
      </c>
      <c r="F600" s="1">
        <v>3153</v>
      </c>
      <c r="G600" s="1" t="s">
        <v>17</v>
      </c>
      <c r="H600" s="1">
        <v>1.375</v>
      </c>
      <c r="I600" s="1">
        <v>1.736</v>
      </c>
      <c r="J600" s="1">
        <v>22.5304742084138</v>
      </c>
      <c r="K600" t="str">
        <f t="shared" si="54"/>
        <v>没有热量缺口</v>
      </c>
      <c r="L600" s="2">
        <f t="shared" si="55"/>
        <v>1664</v>
      </c>
      <c r="M600" s="2">
        <f t="shared" si="56"/>
        <v>2288</v>
      </c>
      <c r="N600" s="2">
        <f t="shared" si="57"/>
        <v>-865</v>
      </c>
      <c r="O600" s="2">
        <f t="shared" si="58"/>
        <v>373.45</v>
      </c>
      <c r="P600" s="2">
        <f t="shared" si="59"/>
        <v>746.9</v>
      </c>
    </row>
    <row r="601" spans="1:16">
      <c r="A601" s="1">
        <v>600</v>
      </c>
      <c r="B601" s="1">
        <v>28</v>
      </c>
      <c r="C601" s="1" t="s">
        <v>16</v>
      </c>
      <c r="D601" s="1">
        <v>177.4</v>
      </c>
      <c r="E601" s="1">
        <v>75.4</v>
      </c>
      <c r="F601" s="1">
        <v>3099</v>
      </c>
      <c r="G601" s="1" t="s">
        <v>17</v>
      </c>
      <c r="H601" s="1">
        <v>1.375</v>
      </c>
      <c r="I601" s="1">
        <v>1.774</v>
      </c>
      <c r="J601" s="1">
        <v>23.9587477391712</v>
      </c>
      <c r="K601" t="str">
        <f t="shared" si="54"/>
        <v>没有热量缺口</v>
      </c>
      <c r="L601" s="2">
        <f t="shared" si="55"/>
        <v>1727.75</v>
      </c>
      <c r="M601" s="2">
        <f t="shared" si="56"/>
        <v>2375.65625</v>
      </c>
      <c r="N601" s="2">
        <f t="shared" si="57"/>
        <v>-723.34375</v>
      </c>
      <c r="O601" s="2">
        <f t="shared" si="58"/>
        <v>414.7</v>
      </c>
      <c r="P601" s="2">
        <f t="shared" si="59"/>
        <v>829.4</v>
      </c>
    </row>
    <row r="602" spans="1:16">
      <c r="A602" s="1">
        <v>601</v>
      </c>
      <c r="B602" s="1">
        <v>33</v>
      </c>
      <c r="C602" s="1" t="s">
        <v>18</v>
      </c>
      <c r="D602" s="1">
        <v>170.7</v>
      </c>
      <c r="E602" s="1">
        <v>73.4</v>
      </c>
      <c r="F602" s="1">
        <v>1496</v>
      </c>
      <c r="G602" s="1" t="s">
        <v>21</v>
      </c>
      <c r="H602" s="1">
        <v>1.725</v>
      </c>
      <c r="I602" s="1">
        <v>1.70699999999999</v>
      </c>
      <c r="J602" s="1">
        <v>25.1900493127818</v>
      </c>
      <c r="K602" t="str">
        <f t="shared" si="54"/>
        <v>缺口过大</v>
      </c>
      <c r="L602" s="2">
        <f t="shared" si="55"/>
        <v>1474.875</v>
      </c>
      <c r="M602" s="2">
        <f t="shared" si="56"/>
        <v>2544.159375</v>
      </c>
      <c r="N602" s="2">
        <f t="shared" si="57"/>
        <v>1048.159375</v>
      </c>
      <c r="O602" s="2">
        <f t="shared" si="58"/>
        <v>403.7</v>
      </c>
      <c r="P602" s="2">
        <f t="shared" si="59"/>
        <v>807.4</v>
      </c>
    </row>
    <row r="603" spans="1:16">
      <c r="A603" s="1">
        <v>602</v>
      </c>
      <c r="B603" s="1">
        <v>20</v>
      </c>
      <c r="C603" s="1" t="s">
        <v>16</v>
      </c>
      <c r="D603" s="1">
        <v>187.1</v>
      </c>
      <c r="E603" s="1">
        <v>91</v>
      </c>
      <c r="F603" s="1">
        <v>2994</v>
      </c>
      <c r="G603" s="1" t="s">
        <v>21</v>
      </c>
      <c r="H603" s="1">
        <v>1.725</v>
      </c>
      <c r="I603" s="1">
        <v>1.871</v>
      </c>
      <c r="J603" s="1">
        <v>25.9952391576285</v>
      </c>
      <c r="K603" t="str">
        <f t="shared" si="54"/>
        <v>缺口过小</v>
      </c>
      <c r="L603" s="2">
        <f t="shared" si="55"/>
        <v>1984.375</v>
      </c>
      <c r="M603" s="2">
        <f t="shared" si="56"/>
        <v>3423.046875</v>
      </c>
      <c r="N603" s="2">
        <f t="shared" si="57"/>
        <v>429.046875</v>
      </c>
      <c r="O603" s="2">
        <f t="shared" si="58"/>
        <v>500.5</v>
      </c>
      <c r="P603" s="2">
        <f t="shared" si="59"/>
        <v>1001</v>
      </c>
    </row>
    <row r="604" spans="1:16">
      <c r="A604" s="1">
        <v>603</v>
      </c>
      <c r="B604" s="1">
        <v>34</v>
      </c>
      <c r="C604" s="1" t="s">
        <v>18</v>
      </c>
      <c r="D604" s="1">
        <v>157.5</v>
      </c>
      <c r="E604" s="1">
        <v>120.8</v>
      </c>
      <c r="F604" s="1">
        <v>43</v>
      </c>
      <c r="G604" s="1" t="s">
        <v>20</v>
      </c>
      <c r="H604" s="1">
        <v>1.55</v>
      </c>
      <c r="I604" s="1">
        <v>1.575</v>
      </c>
      <c r="J604" s="1">
        <v>48.697404887881</v>
      </c>
      <c r="K604" t="str">
        <f t="shared" si="54"/>
        <v>缺口过大</v>
      </c>
      <c r="L604" s="2">
        <f t="shared" si="55"/>
        <v>1861.375</v>
      </c>
      <c r="M604" s="2">
        <f t="shared" si="56"/>
        <v>2885.13125</v>
      </c>
      <c r="N604" s="2">
        <f t="shared" si="57"/>
        <v>2842.13125</v>
      </c>
      <c r="O604" s="2">
        <f t="shared" si="58"/>
        <v>664.4</v>
      </c>
      <c r="P604" s="2">
        <f t="shared" si="59"/>
        <v>1328.8</v>
      </c>
    </row>
    <row r="605" spans="1:16">
      <c r="A605" s="1">
        <v>604</v>
      </c>
      <c r="B605" s="1">
        <v>33</v>
      </c>
      <c r="C605" s="1" t="s">
        <v>18</v>
      </c>
      <c r="D605" s="1">
        <v>165.4</v>
      </c>
      <c r="E605" s="1">
        <v>96.8</v>
      </c>
      <c r="F605" s="1">
        <v>2271</v>
      </c>
      <c r="G605" s="1" t="s">
        <v>17</v>
      </c>
      <c r="H605" s="1">
        <v>1.375</v>
      </c>
      <c r="I605" s="1">
        <v>1.654</v>
      </c>
      <c r="J605" s="1">
        <v>35.383789837834</v>
      </c>
      <c r="K605" t="str">
        <f t="shared" si="54"/>
        <v>缺口过小</v>
      </c>
      <c r="L605" s="2">
        <f t="shared" si="55"/>
        <v>1675.75</v>
      </c>
      <c r="M605" s="2">
        <f t="shared" si="56"/>
        <v>2304.15625</v>
      </c>
      <c r="N605" s="2">
        <f t="shared" si="57"/>
        <v>33.15625</v>
      </c>
      <c r="O605" s="2">
        <f t="shared" si="58"/>
        <v>532.4</v>
      </c>
      <c r="P605" s="2">
        <f t="shared" si="59"/>
        <v>1064.8</v>
      </c>
    </row>
    <row r="606" spans="1:16">
      <c r="A606" s="1">
        <v>605</v>
      </c>
      <c r="B606" s="1">
        <v>33</v>
      </c>
      <c r="C606" s="1" t="s">
        <v>16</v>
      </c>
      <c r="D606" s="1">
        <v>185.3</v>
      </c>
      <c r="E606" s="1">
        <v>148.1</v>
      </c>
      <c r="F606" s="1">
        <v>897</v>
      </c>
      <c r="G606" s="1" t="s">
        <v>17</v>
      </c>
      <c r="H606" s="1">
        <v>1.375</v>
      </c>
      <c r="I606" s="1">
        <v>1.853</v>
      </c>
      <c r="J606" s="1">
        <v>43.1324591705112</v>
      </c>
      <c r="K606" t="str">
        <f t="shared" si="54"/>
        <v>缺口过大</v>
      </c>
      <c r="L606" s="2">
        <f t="shared" si="55"/>
        <v>2479.125</v>
      </c>
      <c r="M606" s="2">
        <f t="shared" si="56"/>
        <v>3408.796875</v>
      </c>
      <c r="N606" s="2">
        <f t="shared" si="57"/>
        <v>2511.796875</v>
      </c>
      <c r="O606" s="2">
        <f t="shared" si="58"/>
        <v>814.55</v>
      </c>
      <c r="P606" s="2">
        <f t="shared" si="59"/>
        <v>1629.1</v>
      </c>
    </row>
    <row r="607" spans="1:16">
      <c r="A607" s="1">
        <v>606</v>
      </c>
      <c r="B607" s="1">
        <v>20</v>
      </c>
      <c r="C607" s="1" t="s">
        <v>16</v>
      </c>
      <c r="D607" s="1">
        <v>186.4</v>
      </c>
      <c r="E607" s="1">
        <v>95.9</v>
      </c>
      <c r="F607" s="1">
        <v>5155</v>
      </c>
      <c r="G607" s="1" t="s">
        <v>21</v>
      </c>
      <c r="H607" s="1">
        <v>1.725</v>
      </c>
      <c r="I607" s="1">
        <v>1.864</v>
      </c>
      <c r="J607" s="1">
        <v>27.6011254581959</v>
      </c>
      <c r="K607" t="str">
        <f t="shared" si="54"/>
        <v>没有热量缺口</v>
      </c>
      <c r="L607" s="2">
        <f t="shared" si="55"/>
        <v>2029</v>
      </c>
      <c r="M607" s="2">
        <f t="shared" si="56"/>
        <v>3500.025</v>
      </c>
      <c r="N607" s="2">
        <f t="shared" si="57"/>
        <v>-1654.975</v>
      </c>
      <c r="O607" s="2">
        <f t="shared" si="58"/>
        <v>527.45</v>
      </c>
      <c r="P607" s="2">
        <f t="shared" si="59"/>
        <v>1054.9</v>
      </c>
    </row>
    <row r="608" spans="1:16">
      <c r="A608" s="1">
        <v>607</v>
      </c>
      <c r="B608" s="1">
        <v>33</v>
      </c>
      <c r="C608" s="1" t="s">
        <v>18</v>
      </c>
      <c r="D608" s="1">
        <v>165.8</v>
      </c>
      <c r="E608" s="1">
        <v>144.5</v>
      </c>
      <c r="F608" s="1">
        <v>1285</v>
      </c>
      <c r="G608" s="1" t="s">
        <v>19</v>
      </c>
      <c r="H608" s="1">
        <v>1.2</v>
      </c>
      <c r="I608" s="1">
        <v>1.658</v>
      </c>
      <c r="J608" s="1">
        <v>52.5652573114817</v>
      </c>
      <c r="K608" t="str">
        <f t="shared" si="54"/>
        <v>缺口合适</v>
      </c>
      <c r="L608" s="2">
        <f t="shared" si="55"/>
        <v>2155.25</v>
      </c>
      <c r="M608" s="2">
        <f t="shared" si="56"/>
        <v>2586.3</v>
      </c>
      <c r="N608" s="2">
        <f t="shared" si="57"/>
        <v>1301.3</v>
      </c>
      <c r="O608" s="2">
        <f t="shared" si="58"/>
        <v>794.75</v>
      </c>
      <c r="P608" s="2">
        <f t="shared" si="59"/>
        <v>1589.5</v>
      </c>
    </row>
    <row r="609" spans="1:16">
      <c r="A609" s="1">
        <v>608</v>
      </c>
      <c r="B609" s="1">
        <v>25</v>
      </c>
      <c r="C609" s="1" t="s">
        <v>16</v>
      </c>
      <c r="D609" s="1">
        <v>170.1</v>
      </c>
      <c r="E609" s="1">
        <v>64.8</v>
      </c>
      <c r="F609" s="1">
        <v>1338</v>
      </c>
      <c r="G609" s="1" t="s">
        <v>17</v>
      </c>
      <c r="H609" s="1">
        <v>1.375</v>
      </c>
      <c r="I609" s="1">
        <v>1.70099999999999</v>
      </c>
      <c r="J609" s="1">
        <v>22.3957895915567</v>
      </c>
      <c r="K609" t="str">
        <f t="shared" si="54"/>
        <v>缺口过大</v>
      </c>
      <c r="L609" s="2">
        <f t="shared" si="55"/>
        <v>1591.125</v>
      </c>
      <c r="M609" s="2">
        <f t="shared" si="56"/>
        <v>2187.796875</v>
      </c>
      <c r="N609" s="2">
        <f t="shared" si="57"/>
        <v>849.796875</v>
      </c>
      <c r="O609" s="2">
        <f t="shared" si="58"/>
        <v>356.4</v>
      </c>
      <c r="P609" s="2">
        <f t="shared" si="59"/>
        <v>712.8</v>
      </c>
    </row>
    <row r="610" spans="1:16">
      <c r="A610" s="1">
        <v>609</v>
      </c>
      <c r="B610" s="1">
        <v>28</v>
      </c>
      <c r="C610" s="1" t="s">
        <v>16</v>
      </c>
      <c r="D610" s="1">
        <v>173.5</v>
      </c>
      <c r="E610" s="1">
        <v>81.3</v>
      </c>
      <c r="F610" s="1">
        <v>2238</v>
      </c>
      <c r="G610" s="1" t="s">
        <v>21</v>
      </c>
      <c r="H610" s="1">
        <v>1.725</v>
      </c>
      <c r="I610" s="1">
        <v>1.735</v>
      </c>
      <c r="J610" s="1">
        <v>27.0079479108704</v>
      </c>
      <c r="K610" t="str">
        <f t="shared" si="54"/>
        <v>缺口合适</v>
      </c>
      <c r="L610" s="2">
        <f t="shared" si="55"/>
        <v>1762.375</v>
      </c>
      <c r="M610" s="2">
        <f t="shared" si="56"/>
        <v>3040.096875</v>
      </c>
      <c r="N610" s="2">
        <f t="shared" si="57"/>
        <v>802.096875</v>
      </c>
      <c r="O610" s="2">
        <f t="shared" si="58"/>
        <v>447.15</v>
      </c>
      <c r="P610" s="2">
        <f t="shared" si="59"/>
        <v>894.3</v>
      </c>
    </row>
    <row r="611" spans="1:16">
      <c r="A611" s="1">
        <v>610</v>
      </c>
      <c r="B611" s="1">
        <v>27</v>
      </c>
      <c r="C611" s="1" t="s">
        <v>18</v>
      </c>
      <c r="D611" s="1">
        <v>158.3</v>
      </c>
      <c r="E611" s="1">
        <v>105</v>
      </c>
      <c r="F611" s="1">
        <v>1232</v>
      </c>
      <c r="G611" s="1" t="s">
        <v>17</v>
      </c>
      <c r="H611" s="1">
        <v>1.375</v>
      </c>
      <c r="I611" s="1">
        <v>1.583</v>
      </c>
      <c r="J611" s="1">
        <v>41.9012973040705</v>
      </c>
      <c r="K611" t="str">
        <f t="shared" si="54"/>
        <v>缺口过大</v>
      </c>
      <c r="L611" s="2">
        <f t="shared" si="55"/>
        <v>1743.375</v>
      </c>
      <c r="M611" s="2">
        <f t="shared" si="56"/>
        <v>2397.140625</v>
      </c>
      <c r="N611" s="2">
        <f t="shared" si="57"/>
        <v>1165.140625</v>
      </c>
      <c r="O611" s="2">
        <f t="shared" si="58"/>
        <v>577.5</v>
      </c>
      <c r="P611" s="2">
        <f t="shared" si="59"/>
        <v>1155</v>
      </c>
    </row>
    <row r="612" spans="1:16">
      <c r="A612" s="1">
        <v>611</v>
      </c>
      <c r="B612" s="1">
        <v>31</v>
      </c>
      <c r="C612" s="1" t="s">
        <v>18</v>
      </c>
      <c r="D612" s="1">
        <v>163.1</v>
      </c>
      <c r="E612" s="1">
        <v>103.4</v>
      </c>
      <c r="F612" s="1">
        <v>3066</v>
      </c>
      <c r="G612" s="1" t="s">
        <v>17</v>
      </c>
      <c r="H612" s="1">
        <v>1.375</v>
      </c>
      <c r="I612" s="1">
        <v>1.631</v>
      </c>
      <c r="J612" s="1">
        <v>38.8698278036555</v>
      </c>
      <c r="K612" t="str">
        <f t="shared" si="54"/>
        <v>没有热量缺口</v>
      </c>
      <c r="L612" s="2">
        <f t="shared" si="55"/>
        <v>1737.375</v>
      </c>
      <c r="M612" s="2">
        <f t="shared" si="56"/>
        <v>2388.890625</v>
      </c>
      <c r="N612" s="2">
        <f t="shared" si="57"/>
        <v>-677.109375</v>
      </c>
      <c r="O612" s="2">
        <f t="shared" si="58"/>
        <v>568.7</v>
      </c>
      <c r="P612" s="2">
        <f t="shared" si="59"/>
        <v>1137.4</v>
      </c>
    </row>
    <row r="613" spans="1:16">
      <c r="A613" s="1">
        <v>612</v>
      </c>
      <c r="B613" s="1">
        <v>22</v>
      </c>
      <c r="C613" s="1" t="s">
        <v>16</v>
      </c>
      <c r="D613" s="1">
        <v>170.9</v>
      </c>
      <c r="E613" s="1">
        <v>57.9</v>
      </c>
      <c r="F613" s="1">
        <v>1556</v>
      </c>
      <c r="G613" s="1" t="s">
        <v>19</v>
      </c>
      <c r="H613" s="1">
        <v>1.2</v>
      </c>
      <c r="I613" s="1">
        <v>1.709</v>
      </c>
      <c r="J613" s="1">
        <v>19.8241437527754</v>
      </c>
      <c r="K613" t="str">
        <f t="shared" si="54"/>
        <v>缺口过小</v>
      </c>
      <c r="L613" s="2">
        <f t="shared" si="55"/>
        <v>1542.125</v>
      </c>
      <c r="M613" s="2">
        <f t="shared" si="56"/>
        <v>1850.55</v>
      </c>
      <c r="N613" s="2">
        <f t="shared" si="57"/>
        <v>294.55</v>
      </c>
      <c r="O613" s="2">
        <f t="shared" si="58"/>
        <v>318.45</v>
      </c>
      <c r="P613" s="2">
        <f t="shared" si="59"/>
        <v>636.9</v>
      </c>
    </row>
    <row r="614" spans="1:16">
      <c r="A614" s="1">
        <v>613</v>
      </c>
      <c r="B614" s="1">
        <v>26</v>
      </c>
      <c r="C614" s="1" t="s">
        <v>18</v>
      </c>
      <c r="D614" s="1">
        <v>155.3</v>
      </c>
      <c r="E614" s="1">
        <v>51</v>
      </c>
      <c r="F614" s="1">
        <v>1179</v>
      </c>
      <c r="G614" s="1" t="s">
        <v>17</v>
      </c>
      <c r="H614" s="1">
        <v>1.375</v>
      </c>
      <c r="I614" s="1">
        <v>1.553</v>
      </c>
      <c r="J614" s="1">
        <v>21.1459530999345</v>
      </c>
      <c r="K614" t="str">
        <f t="shared" si="54"/>
        <v>缺口合适</v>
      </c>
      <c r="L614" s="2">
        <f t="shared" si="55"/>
        <v>1189.625</v>
      </c>
      <c r="M614" s="2">
        <f t="shared" si="56"/>
        <v>1635.734375</v>
      </c>
      <c r="N614" s="2">
        <f t="shared" si="57"/>
        <v>456.734375</v>
      </c>
      <c r="O614" s="2">
        <f t="shared" si="58"/>
        <v>280.5</v>
      </c>
      <c r="P614" s="2">
        <f t="shared" si="59"/>
        <v>561</v>
      </c>
    </row>
    <row r="615" spans="1:16">
      <c r="A615" s="1">
        <v>614</v>
      </c>
      <c r="B615" s="1">
        <v>34</v>
      </c>
      <c r="C615" s="1" t="s">
        <v>16</v>
      </c>
      <c r="D615" s="1">
        <v>162.2</v>
      </c>
      <c r="E615" s="1">
        <v>77.9</v>
      </c>
      <c r="F615" s="1">
        <v>2021</v>
      </c>
      <c r="G615" s="1" t="s">
        <v>17</v>
      </c>
      <c r="H615" s="1">
        <v>1.375</v>
      </c>
      <c r="I615" s="1">
        <v>1.62199999999999</v>
      </c>
      <c r="J615" s="1">
        <v>29.6098193610968</v>
      </c>
      <c r="K615" t="str">
        <f t="shared" si="54"/>
        <v>缺口过小</v>
      </c>
      <c r="L615" s="2">
        <f t="shared" si="55"/>
        <v>1627.75</v>
      </c>
      <c r="M615" s="2">
        <f t="shared" si="56"/>
        <v>2238.15625</v>
      </c>
      <c r="N615" s="2">
        <f t="shared" si="57"/>
        <v>217.15625</v>
      </c>
      <c r="O615" s="2">
        <f t="shared" si="58"/>
        <v>428.45</v>
      </c>
      <c r="P615" s="2">
        <f t="shared" si="59"/>
        <v>856.9</v>
      </c>
    </row>
    <row r="616" spans="1:16">
      <c r="A616" s="1">
        <v>615</v>
      </c>
      <c r="B616" s="1">
        <v>29</v>
      </c>
      <c r="C616" s="1" t="s">
        <v>18</v>
      </c>
      <c r="D616" s="1">
        <v>149.4</v>
      </c>
      <c r="E616" s="1">
        <v>61.1</v>
      </c>
      <c r="F616" s="1">
        <v>1507</v>
      </c>
      <c r="G616" s="1" t="s">
        <v>17</v>
      </c>
      <c r="H616" s="1">
        <v>1.375</v>
      </c>
      <c r="I616" s="1">
        <v>1.494</v>
      </c>
      <c r="J616" s="1">
        <v>27.3741104534156</v>
      </c>
      <c r="K616" t="str">
        <f t="shared" si="54"/>
        <v>缺口过小</v>
      </c>
      <c r="L616" s="2">
        <f t="shared" si="55"/>
        <v>1238.75</v>
      </c>
      <c r="M616" s="2">
        <f t="shared" si="56"/>
        <v>1703.28125</v>
      </c>
      <c r="N616" s="2">
        <f t="shared" si="57"/>
        <v>196.28125</v>
      </c>
      <c r="O616" s="2">
        <f t="shared" si="58"/>
        <v>336.05</v>
      </c>
      <c r="P616" s="2">
        <f t="shared" si="59"/>
        <v>672.1</v>
      </c>
    </row>
    <row r="617" spans="1:16">
      <c r="A617" s="1">
        <v>616</v>
      </c>
      <c r="B617" s="1">
        <v>27</v>
      </c>
      <c r="C617" s="1" t="s">
        <v>16</v>
      </c>
      <c r="D617" s="1">
        <v>166.3</v>
      </c>
      <c r="E617" s="1">
        <v>49.1</v>
      </c>
      <c r="F617" s="1">
        <v>2687</v>
      </c>
      <c r="G617" s="1" t="s">
        <v>19</v>
      </c>
      <c r="H617" s="1">
        <v>1.2</v>
      </c>
      <c r="I617" s="1">
        <v>1.663</v>
      </c>
      <c r="J617" s="1">
        <v>17.754031810452</v>
      </c>
      <c r="K617" t="str">
        <f t="shared" si="54"/>
        <v>没有热量缺口</v>
      </c>
      <c r="L617" s="2">
        <f t="shared" si="55"/>
        <v>1400.375</v>
      </c>
      <c r="M617" s="2">
        <f t="shared" si="56"/>
        <v>1680.45</v>
      </c>
      <c r="N617" s="2">
        <f t="shared" si="57"/>
        <v>-1006.55</v>
      </c>
      <c r="O617" s="2">
        <f t="shared" si="58"/>
        <v>270.05</v>
      </c>
      <c r="P617" s="2">
        <f t="shared" si="59"/>
        <v>540.1</v>
      </c>
    </row>
    <row r="618" spans="1:16">
      <c r="A618" s="1">
        <v>617</v>
      </c>
      <c r="B618" s="1">
        <v>32</v>
      </c>
      <c r="C618" s="1" t="s">
        <v>18</v>
      </c>
      <c r="D618" s="1">
        <v>164.8</v>
      </c>
      <c r="E618" s="1">
        <v>80.5</v>
      </c>
      <c r="F618" s="1">
        <v>1115</v>
      </c>
      <c r="G618" s="1" t="s">
        <v>21</v>
      </c>
      <c r="H618" s="1">
        <v>1.725</v>
      </c>
      <c r="I618" s="1">
        <v>1.648</v>
      </c>
      <c r="J618" s="1">
        <v>29.6402229239325</v>
      </c>
      <c r="K618" t="str">
        <f t="shared" si="54"/>
        <v>缺口过大</v>
      </c>
      <c r="L618" s="2">
        <f t="shared" si="55"/>
        <v>1514</v>
      </c>
      <c r="M618" s="2">
        <f t="shared" si="56"/>
        <v>2611.65</v>
      </c>
      <c r="N618" s="2">
        <f t="shared" si="57"/>
        <v>1496.65</v>
      </c>
      <c r="O618" s="2">
        <f t="shared" si="58"/>
        <v>442.75</v>
      </c>
      <c r="P618" s="2">
        <f t="shared" si="59"/>
        <v>885.5</v>
      </c>
    </row>
    <row r="619" spans="1:16">
      <c r="A619" s="1">
        <v>618</v>
      </c>
      <c r="B619" s="1">
        <v>22</v>
      </c>
      <c r="C619" s="1" t="s">
        <v>18</v>
      </c>
      <c r="D619" s="1">
        <v>162.4</v>
      </c>
      <c r="E619" s="1">
        <v>54.9</v>
      </c>
      <c r="F619" s="1">
        <v>1362</v>
      </c>
      <c r="G619" s="1" t="s">
        <v>17</v>
      </c>
      <c r="H619" s="1">
        <v>1.375</v>
      </c>
      <c r="I619" s="1">
        <v>1.624</v>
      </c>
      <c r="J619" s="1">
        <v>20.8161445315343</v>
      </c>
      <c r="K619" t="str">
        <f t="shared" si="54"/>
        <v>缺口合适</v>
      </c>
      <c r="L619" s="2">
        <f t="shared" si="55"/>
        <v>1293</v>
      </c>
      <c r="M619" s="2">
        <f t="shared" si="56"/>
        <v>1777.875</v>
      </c>
      <c r="N619" s="2">
        <f t="shared" si="57"/>
        <v>415.875</v>
      </c>
      <c r="O619" s="2">
        <f t="shared" si="58"/>
        <v>301.95</v>
      </c>
      <c r="P619" s="2">
        <f t="shared" si="59"/>
        <v>603.9</v>
      </c>
    </row>
    <row r="620" spans="1:16">
      <c r="A620" s="1">
        <v>619</v>
      </c>
      <c r="B620" s="1">
        <v>21</v>
      </c>
      <c r="C620" s="1" t="s">
        <v>16</v>
      </c>
      <c r="D620" s="1">
        <v>180.7</v>
      </c>
      <c r="E620" s="1">
        <v>120.1</v>
      </c>
      <c r="F620" s="1">
        <v>1011</v>
      </c>
      <c r="G620" s="1" t="s">
        <v>20</v>
      </c>
      <c r="H620" s="1">
        <v>1.55</v>
      </c>
      <c r="I620" s="1">
        <v>1.807</v>
      </c>
      <c r="J620" s="1">
        <v>36.7812684423148</v>
      </c>
      <c r="K620" t="str">
        <f t="shared" si="54"/>
        <v>缺口过大</v>
      </c>
      <c r="L620" s="2">
        <f t="shared" si="55"/>
        <v>2230.375</v>
      </c>
      <c r="M620" s="2">
        <f t="shared" si="56"/>
        <v>3457.08125</v>
      </c>
      <c r="N620" s="2">
        <f t="shared" si="57"/>
        <v>2446.08125</v>
      </c>
      <c r="O620" s="2">
        <f t="shared" si="58"/>
        <v>660.55</v>
      </c>
      <c r="P620" s="2">
        <f t="shared" si="59"/>
        <v>1321.1</v>
      </c>
    </row>
    <row r="621" spans="1:16">
      <c r="A621" s="1">
        <v>620</v>
      </c>
      <c r="B621" s="1">
        <v>29</v>
      </c>
      <c r="C621" s="1" t="s">
        <v>18</v>
      </c>
      <c r="D621" s="1">
        <v>166.3</v>
      </c>
      <c r="E621" s="1">
        <v>113.1</v>
      </c>
      <c r="F621" s="1">
        <v>3002</v>
      </c>
      <c r="G621" s="1" t="s">
        <v>21</v>
      </c>
      <c r="H621" s="1">
        <v>1.725</v>
      </c>
      <c r="I621" s="1">
        <v>1.663</v>
      </c>
      <c r="J621" s="1">
        <v>40.8957433352774</v>
      </c>
      <c r="K621" t="str">
        <f t="shared" si="54"/>
        <v>缺口过小</v>
      </c>
      <c r="L621" s="2">
        <f t="shared" si="55"/>
        <v>1864.375</v>
      </c>
      <c r="M621" s="2">
        <f t="shared" si="56"/>
        <v>3216.046875</v>
      </c>
      <c r="N621" s="2">
        <f t="shared" si="57"/>
        <v>214.046875</v>
      </c>
      <c r="O621" s="2">
        <f t="shared" si="58"/>
        <v>622.05</v>
      </c>
      <c r="P621" s="2">
        <f t="shared" si="59"/>
        <v>1244.1</v>
      </c>
    </row>
    <row r="622" spans="1:16">
      <c r="A622" s="1">
        <v>621</v>
      </c>
      <c r="B622" s="1">
        <v>35</v>
      </c>
      <c r="C622" s="1" t="s">
        <v>16</v>
      </c>
      <c r="D622" s="1">
        <v>175.8</v>
      </c>
      <c r="E622" s="1">
        <v>98.9</v>
      </c>
      <c r="F622" s="1">
        <v>6657</v>
      </c>
      <c r="G622" s="1" t="s">
        <v>19</v>
      </c>
      <c r="H622" s="1">
        <v>1.2</v>
      </c>
      <c r="I622" s="1">
        <v>1.758</v>
      </c>
      <c r="J622" s="1">
        <v>32.000631599928</v>
      </c>
      <c r="K622" t="str">
        <f t="shared" si="54"/>
        <v>没有热量缺口</v>
      </c>
      <c r="L622" s="2">
        <f t="shared" si="55"/>
        <v>1917.75</v>
      </c>
      <c r="M622" s="2">
        <f t="shared" si="56"/>
        <v>2301.3</v>
      </c>
      <c r="N622" s="2">
        <f t="shared" si="57"/>
        <v>-4355.7</v>
      </c>
      <c r="O622" s="2">
        <f t="shared" si="58"/>
        <v>543.95</v>
      </c>
      <c r="P622" s="2">
        <f t="shared" si="59"/>
        <v>1087.9</v>
      </c>
    </row>
    <row r="623" spans="1:16">
      <c r="A623" s="1">
        <v>622</v>
      </c>
      <c r="B623" s="1">
        <v>21</v>
      </c>
      <c r="C623" s="1" t="s">
        <v>16</v>
      </c>
      <c r="D623" s="1">
        <v>194.2</v>
      </c>
      <c r="E623" s="1">
        <v>120.5</v>
      </c>
      <c r="F623" s="1">
        <v>2240</v>
      </c>
      <c r="G623" s="1" t="s">
        <v>19</v>
      </c>
      <c r="H623" s="1">
        <v>1.2</v>
      </c>
      <c r="I623" s="1">
        <v>1.942</v>
      </c>
      <c r="J623" s="1">
        <v>31.9513046208215</v>
      </c>
      <c r="K623" t="str">
        <f t="shared" si="54"/>
        <v>缺口过小</v>
      </c>
      <c r="L623" s="2">
        <f t="shared" si="55"/>
        <v>2318.75</v>
      </c>
      <c r="M623" s="2">
        <f t="shared" si="56"/>
        <v>2782.5</v>
      </c>
      <c r="N623" s="2">
        <f t="shared" si="57"/>
        <v>542.5</v>
      </c>
      <c r="O623" s="2">
        <f t="shared" si="58"/>
        <v>662.75</v>
      </c>
      <c r="P623" s="2">
        <f t="shared" si="59"/>
        <v>1325.5</v>
      </c>
    </row>
    <row r="624" spans="1:16">
      <c r="A624" s="1">
        <v>623</v>
      </c>
      <c r="B624" s="1">
        <v>35</v>
      </c>
      <c r="C624" s="1" t="s">
        <v>18</v>
      </c>
      <c r="D624" s="1">
        <v>153.3</v>
      </c>
      <c r="E624" s="1">
        <v>64</v>
      </c>
      <c r="F624" s="1">
        <v>1162</v>
      </c>
      <c r="G624" s="1" t="s">
        <v>17</v>
      </c>
      <c r="H624" s="1">
        <v>1.375</v>
      </c>
      <c r="I624" s="1">
        <v>1.533</v>
      </c>
      <c r="J624" s="1">
        <v>27.2330111753214</v>
      </c>
      <c r="K624" t="str">
        <f t="shared" si="54"/>
        <v>缺口合适</v>
      </c>
      <c r="L624" s="2">
        <f t="shared" si="55"/>
        <v>1262.125</v>
      </c>
      <c r="M624" s="2">
        <f t="shared" si="56"/>
        <v>1735.421875</v>
      </c>
      <c r="N624" s="2">
        <f t="shared" si="57"/>
        <v>573.421875</v>
      </c>
      <c r="O624" s="2">
        <f t="shared" si="58"/>
        <v>352</v>
      </c>
      <c r="P624" s="2">
        <f t="shared" si="59"/>
        <v>704</v>
      </c>
    </row>
    <row r="625" spans="1:16">
      <c r="A625" s="1">
        <v>624</v>
      </c>
      <c r="B625" s="1">
        <v>30</v>
      </c>
      <c r="C625" s="1" t="s">
        <v>18</v>
      </c>
      <c r="D625" s="1">
        <v>151.6</v>
      </c>
      <c r="E625" s="1">
        <v>65.6</v>
      </c>
      <c r="F625" s="1">
        <v>2335</v>
      </c>
      <c r="G625" s="1" t="s">
        <v>20</v>
      </c>
      <c r="H625" s="1">
        <v>1.55</v>
      </c>
      <c r="I625" s="1">
        <v>1.516</v>
      </c>
      <c r="J625" s="1">
        <v>28.5433824604395</v>
      </c>
      <c r="K625" t="str">
        <f t="shared" si="54"/>
        <v>没有热量缺口</v>
      </c>
      <c r="L625" s="2">
        <f t="shared" si="55"/>
        <v>1292.5</v>
      </c>
      <c r="M625" s="2">
        <f t="shared" si="56"/>
        <v>2003.375</v>
      </c>
      <c r="N625" s="2">
        <f t="shared" si="57"/>
        <v>-331.625</v>
      </c>
      <c r="O625" s="2">
        <f t="shared" si="58"/>
        <v>360.8</v>
      </c>
      <c r="P625" s="2">
        <f t="shared" si="59"/>
        <v>721.6</v>
      </c>
    </row>
    <row r="626" spans="1:16">
      <c r="A626" s="1">
        <v>625</v>
      </c>
      <c r="B626" s="1">
        <v>33</v>
      </c>
      <c r="C626" s="1" t="s">
        <v>16</v>
      </c>
      <c r="D626" s="1">
        <v>182.5</v>
      </c>
      <c r="E626" s="1">
        <v>121.7</v>
      </c>
      <c r="F626" s="1">
        <v>2432</v>
      </c>
      <c r="G626" s="1" t="s">
        <v>17</v>
      </c>
      <c r="H626" s="1">
        <v>1.375</v>
      </c>
      <c r="I626" s="1">
        <v>1.825</v>
      </c>
      <c r="J626" s="1">
        <v>36.5396884969037</v>
      </c>
      <c r="K626" t="str">
        <f t="shared" si="54"/>
        <v>缺口过小</v>
      </c>
      <c r="L626" s="2">
        <f t="shared" si="55"/>
        <v>2197.625</v>
      </c>
      <c r="M626" s="2">
        <f t="shared" si="56"/>
        <v>3021.734375</v>
      </c>
      <c r="N626" s="2">
        <f t="shared" si="57"/>
        <v>589.734375</v>
      </c>
      <c r="O626" s="2">
        <f t="shared" si="58"/>
        <v>669.35</v>
      </c>
      <c r="P626" s="2">
        <f t="shared" si="59"/>
        <v>1338.7</v>
      </c>
    </row>
    <row r="627" spans="1:16">
      <c r="A627" s="1">
        <v>626</v>
      </c>
      <c r="B627" s="1">
        <v>30</v>
      </c>
      <c r="C627" s="1" t="s">
        <v>18</v>
      </c>
      <c r="D627" s="1">
        <v>172.6</v>
      </c>
      <c r="E627" s="1">
        <v>55.3</v>
      </c>
      <c r="F627" s="1">
        <v>1543</v>
      </c>
      <c r="G627" s="1" t="s">
        <v>17</v>
      </c>
      <c r="H627" s="1">
        <v>1.375</v>
      </c>
      <c r="I627" s="1">
        <v>1.726</v>
      </c>
      <c r="J627" s="1">
        <v>18.5628026945267</v>
      </c>
      <c r="K627" t="str">
        <f t="shared" si="54"/>
        <v>缺口过小</v>
      </c>
      <c r="L627" s="2">
        <f t="shared" si="55"/>
        <v>1320.75</v>
      </c>
      <c r="M627" s="2">
        <f t="shared" si="56"/>
        <v>1816.03125</v>
      </c>
      <c r="N627" s="2">
        <f t="shared" si="57"/>
        <v>273.03125</v>
      </c>
      <c r="O627" s="2">
        <f t="shared" si="58"/>
        <v>304.15</v>
      </c>
      <c r="P627" s="2">
        <f t="shared" si="59"/>
        <v>608.3</v>
      </c>
    </row>
    <row r="628" spans="1:16">
      <c r="A628" s="1">
        <v>627</v>
      </c>
      <c r="B628" s="1">
        <v>25</v>
      </c>
      <c r="C628" s="1" t="s">
        <v>18</v>
      </c>
      <c r="D628" s="1">
        <v>148.5</v>
      </c>
      <c r="E628" s="1">
        <v>100.5</v>
      </c>
      <c r="F628" s="1">
        <v>797</v>
      </c>
      <c r="G628" s="1" t="s">
        <v>21</v>
      </c>
      <c r="H628" s="1">
        <v>1.725</v>
      </c>
      <c r="I628" s="1">
        <v>1.485</v>
      </c>
      <c r="J628" s="1">
        <v>45.5735809271162</v>
      </c>
      <c r="K628" t="str">
        <f t="shared" si="54"/>
        <v>缺口过大</v>
      </c>
      <c r="L628" s="2">
        <f t="shared" si="55"/>
        <v>1647.125</v>
      </c>
      <c r="M628" s="2">
        <f t="shared" si="56"/>
        <v>2841.290625</v>
      </c>
      <c r="N628" s="2">
        <f t="shared" si="57"/>
        <v>2044.290625</v>
      </c>
      <c r="O628" s="2">
        <f t="shared" si="58"/>
        <v>552.75</v>
      </c>
      <c r="P628" s="2">
        <f t="shared" si="59"/>
        <v>1105.5</v>
      </c>
    </row>
    <row r="629" spans="1:16">
      <c r="A629" s="1">
        <v>628</v>
      </c>
      <c r="B629" s="1">
        <v>34</v>
      </c>
      <c r="C629" s="1" t="s">
        <v>16</v>
      </c>
      <c r="D629" s="1">
        <v>161.5</v>
      </c>
      <c r="E629" s="1">
        <v>62.4</v>
      </c>
      <c r="F629" s="1">
        <v>1885</v>
      </c>
      <c r="G629" s="1" t="s">
        <v>17</v>
      </c>
      <c r="H629" s="1">
        <v>1.375</v>
      </c>
      <c r="I629" s="1">
        <v>1.615</v>
      </c>
      <c r="J629" s="1">
        <v>23.9243163454073</v>
      </c>
      <c r="K629" t="str">
        <f t="shared" si="54"/>
        <v>缺口过小</v>
      </c>
      <c r="L629" s="2">
        <f t="shared" si="55"/>
        <v>1468.375</v>
      </c>
      <c r="M629" s="2">
        <f t="shared" si="56"/>
        <v>2019.015625</v>
      </c>
      <c r="N629" s="2">
        <f t="shared" si="57"/>
        <v>134.015625</v>
      </c>
      <c r="O629" s="2">
        <f t="shared" si="58"/>
        <v>343.2</v>
      </c>
      <c r="P629" s="2">
        <f t="shared" si="59"/>
        <v>686.4</v>
      </c>
    </row>
    <row r="630" spans="1:16">
      <c r="A630" s="1">
        <v>629</v>
      </c>
      <c r="B630" s="1">
        <v>30</v>
      </c>
      <c r="C630" s="1" t="s">
        <v>18</v>
      </c>
      <c r="D630" s="1">
        <v>161.2</v>
      </c>
      <c r="E630" s="1">
        <v>71.5</v>
      </c>
      <c r="F630" s="1">
        <v>1850</v>
      </c>
      <c r="G630" s="1" t="s">
        <v>20</v>
      </c>
      <c r="H630" s="1">
        <v>1.55</v>
      </c>
      <c r="I630" s="1">
        <v>1.61199999999999</v>
      </c>
      <c r="J630" s="1">
        <v>27.5154086288321</v>
      </c>
      <c r="K630" t="str">
        <f t="shared" si="54"/>
        <v>缺口过小</v>
      </c>
      <c r="L630" s="2">
        <f t="shared" si="55"/>
        <v>1411.5</v>
      </c>
      <c r="M630" s="2">
        <f t="shared" si="56"/>
        <v>2187.825</v>
      </c>
      <c r="N630" s="2">
        <f t="shared" si="57"/>
        <v>337.825</v>
      </c>
      <c r="O630" s="2">
        <f t="shared" si="58"/>
        <v>393.25</v>
      </c>
      <c r="P630" s="2">
        <f t="shared" si="59"/>
        <v>786.5</v>
      </c>
    </row>
    <row r="631" spans="1:16">
      <c r="A631" s="1">
        <v>630</v>
      </c>
      <c r="B631" s="1">
        <v>21</v>
      </c>
      <c r="C631" s="1" t="s">
        <v>16</v>
      </c>
      <c r="D631" s="1">
        <v>181.3</v>
      </c>
      <c r="E631" s="1">
        <v>102</v>
      </c>
      <c r="F631" s="1">
        <v>2841</v>
      </c>
      <c r="G631" s="1" t="s">
        <v>21</v>
      </c>
      <c r="H631" s="1">
        <v>1.725</v>
      </c>
      <c r="I631" s="1">
        <v>1.813</v>
      </c>
      <c r="J631" s="1">
        <v>31.0316282264907</v>
      </c>
      <c r="K631" t="str">
        <f t="shared" si="54"/>
        <v>缺口合适</v>
      </c>
      <c r="L631" s="2">
        <f t="shared" si="55"/>
        <v>2053.125</v>
      </c>
      <c r="M631" s="2">
        <f t="shared" si="56"/>
        <v>3541.640625</v>
      </c>
      <c r="N631" s="2">
        <f t="shared" si="57"/>
        <v>700.640625</v>
      </c>
      <c r="O631" s="2">
        <f t="shared" si="58"/>
        <v>561</v>
      </c>
      <c r="P631" s="2">
        <f t="shared" si="59"/>
        <v>1122</v>
      </c>
    </row>
    <row r="632" spans="1:16">
      <c r="A632" s="1">
        <v>631</v>
      </c>
      <c r="B632" s="1">
        <v>31</v>
      </c>
      <c r="C632" s="1" t="s">
        <v>18</v>
      </c>
      <c r="D632" s="1">
        <v>169.2</v>
      </c>
      <c r="E632" s="1">
        <v>55.9</v>
      </c>
      <c r="F632" s="1">
        <v>1371</v>
      </c>
      <c r="G632" s="1" t="s">
        <v>17</v>
      </c>
      <c r="H632" s="1">
        <v>1.375</v>
      </c>
      <c r="I632" s="1">
        <v>1.692</v>
      </c>
      <c r="J632" s="1">
        <v>19.5259013351664</v>
      </c>
      <c r="K632" t="str">
        <f t="shared" si="54"/>
        <v>缺口合适</v>
      </c>
      <c r="L632" s="2">
        <f t="shared" si="55"/>
        <v>1300.5</v>
      </c>
      <c r="M632" s="2">
        <f t="shared" si="56"/>
        <v>1788.1875</v>
      </c>
      <c r="N632" s="2">
        <f t="shared" si="57"/>
        <v>417.1875</v>
      </c>
      <c r="O632" s="2">
        <f t="shared" si="58"/>
        <v>307.45</v>
      </c>
      <c r="P632" s="2">
        <f t="shared" si="59"/>
        <v>614.9</v>
      </c>
    </row>
    <row r="633" spans="1:16">
      <c r="A633" s="1">
        <v>632</v>
      </c>
      <c r="B633" s="1">
        <v>31</v>
      </c>
      <c r="C633" s="1" t="s">
        <v>16</v>
      </c>
      <c r="D633" s="1">
        <v>163.6</v>
      </c>
      <c r="E633" s="1">
        <v>77</v>
      </c>
      <c r="F633" s="1">
        <v>700</v>
      </c>
      <c r="G633" s="1" t="s">
        <v>21</v>
      </c>
      <c r="H633" s="1">
        <v>1.725</v>
      </c>
      <c r="I633" s="1">
        <v>1.636</v>
      </c>
      <c r="J633" s="1">
        <v>28.7689576222045</v>
      </c>
      <c r="K633" t="str">
        <f t="shared" si="54"/>
        <v>缺口过大</v>
      </c>
      <c r="L633" s="2">
        <f t="shared" si="55"/>
        <v>1642.5</v>
      </c>
      <c r="M633" s="2">
        <f t="shared" si="56"/>
        <v>2833.3125</v>
      </c>
      <c r="N633" s="2">
        <f t="shared" si="57"/>
        <v>2133.3125</v>
      </c>
      <c r="O633" s="2">
        <f t="shared" si="58"/>
        <v>423.5</v>
      </c>
      <c r="P633" s="2">
        <f t="shared" si="59"/>
        <v>847</v>
      </c>
    </row>
    <row r="634" spans="1:16">
      <c r="A634" s="1">
        <v>633</v>
      </c>
      <c r="B634" s="1">
        <v>27</v>
      </c>
      <c r="C634" s="1" t="s">
        <v>16</v>
      </c>
      <c r="D634" s="1">
        <v>174</v>
      </c>
      <c r="E634" s="1">
        <v>92.2</v>
      </c>
      <c r="F634" s="1">
        <v>2032</v>
      </c>
      <c r="G634" s="1" t="s">
        <v>20</v>
      </c>
      <c r="H634" s="1">
        <v>1.55</v>
      </c>
      <c r="I634" s="1">
        <v>1.74</v>
      </c>
      <c r="J634" s="1">
        <v>30.4531642224864</v>
      </c>
      <c r="K634" t="str">
        <f t="shared" si="54"/>
        <v>缺口合适</v>
      </c>
      <c r="L634" s="2">
        <f t="shared" si="55"/>
        <v>1879.5</v>
      </c>
      <c r="M634" s="2">
        <f t="shared" si="56"/>
        <v>2913.225</v>
      </c>
      <c r="N634" s="2">
        <f t="shared" si="57"/>
        <v>881.225</v>
      </c>
      <c r="O634" s="2">
        <f t="shared" si="58"/>
        <v>507.1</v>
      </c>
      <c r="P634" s="2">
        <f t="shared" si="59"/>
        <v>1014.2</v>
      </c>
    </row>
    <row r="635" spans="1:16">
      <c r="A635" s="1">
        <v>634</v>
      </c>
      <c r="B635" s="1">
        <v>24</v>
      </c>
      <c r="C635" s="1" t="s">
        <v>18</v>
      </c>
      <c r="D635" s="1">
        <v>165.3</v>
      </c>
      <c r="E635" s="1">
        <v>58</v>
      </c>
      <c r="F635" s="1">
        <v>2434</v>
      </c>
      <c r="G635" s="1" t="s">
        <v>17</v>
      </c>
      <c r="H635" s="1">
        <v>1.375</v>
      </c>
      <c r="I635" s="1">
        <v>1.653</v>
      </c>
      <c r="J635" s="1">
        <v>21.2266904405599</v>
      </c>
      <c r="K635" t="str">
        <f t="shared" si="54"/>
        <v>没有热量缺口</v>
      </c>
      <c r="L635" s="2">
        <f t="shared" si="55"/>
        <v>1332.125</v>
      </c>
      <c r="M635" s="2">
        <f t="shared" si="56"/>
        <v>1831.671875</v>
      </c>
      <c r="N635" s="2">
        <f t="shared" si="57"/>
        <v>-602.328125</v>
      </c>
      <c r="O635" s="2">
        <f t="shared" si="58"/>
        <v>319</v>
      </c>
      <c r="P635" s="2">
        <f t="shared" si="59"/>
        <v>638</v>
      </c>
    </row>
    <row r="636" spans="1:16">
      <c r="A636" s="1">
        <v>635</v>
      </c>
      <c r="B636" s="1">
        <v>31</v>
      </c>
      <c r="C636" s="1" t="s">
        <v>16</v>
      </c>
      <c r="D636" s="1">
        <v>181.8</v>
      </c>
      <c r="E636" s="1">
        <v>82.4</v>
      </c>
      <c r="F636" s="1">
        <v>1971</v>
      </c>
      <c r="G636" s="1" t="s">
        <v>21</v>
      </c>
      <c r="H636" s="1">
        <v>1.725</v>
      </c>
      <c r="I636" s="1">
        <v>1.818</v>
      </c>
      <c r="J636" s="1">
        <v>24.9309859478797</v>
      </c>
      <c r="K636" t="str">
        <f t="shared" si="54"/>
        <v>缺口过大</v>
      </c>
      <c r="L636" s="2">
        <f t="shared" si="55"/>
        <v>1810.25</v>
      </c>
      <c r="M636" s="2">
        <f t="shared" si="56"/>
        <v>3122.68125</v>
      </c>
      <c r="N636" s="2">
        <f t="shared" si="57"/>
        <v>1151.68125</v>
      </c>
      <c r="O636" s="2">
        <f t="shared" si="58"/>
        <v>453.2</v>
      </c>
      <c r="P636" s="2">
        <f t="shared" si="59"/>
        <v>906.4</v>
      </c>
    </row>
    <row r="637" spans="1:16">
      <c r="A637" s="1">
        <v>636</v>
      </c>
      <c r="B637" s="1">
        <v>30</v>
      </c>
      <c r="C637" s="1" t="s">
        <v>18</v>
      </c>
      <c r="D637" s="1">
        <v>166.8</v>
      </c>
      <c r="E637" s="1">
        <v>97.5</v>
      </c>
      <c r="F637" s="1">
        <v>1022</v>
      </c>
      <c r="G637" s="1" t="s">
        <v>19</v>
      </c>
      <c r="H637" s="1">
        <v>1.2</v>
      </c>
      <c r="I637" s="1">
        <v>1.668</v>
      </c>
      <c r="J637" s="1">
        <v>35.043907320187</v>
      </c>
      <c r="K637" t="str">
        <f t="shared" si="54"/>
        <v>缺口合适</v>
      </c>
      <c r="L637" s="2">
        <f t="shared" si="55"/>
        <v>1706.5</v>
      </c>
      <c r="M637" s="2">
        <f t="shared" si="56"/>
        <v>2047.8</v>
      </c>
      <c r="N637" s="2">
        <f t="shared" si="57"/>
        <v>1025.8</v>
      </c>
      <c r="O637" s="2">
        <f t="shared" si="58"/>
        <v>536.25</v>
      </c>
      <c r="P637" s="2">
        <f t="shared" si="59"/>
        <v>1072.5</v>
      </c>
    </row>
    <row r="638" spans="1:16">
      <c r="A638" s="1">
        <v>637</v>
      </c>
      <c r="B638" s="1">
        <v>33</v>
      </c>
      <c r="C638" s="1" t="s">
        <v>18</v>
      </c>
      <c r="D638" s="1">
        <v>150.7</v>
      </c>
      <c r="E638" s="1">
        <v>47.3</v>
      </c>
      <c r="F638" s="1">
        <v>1763</v>
      </c>
      <c r="G638" s="1" t="s">
        <v>17</v>
      </c>
      <c r="H638" s="1">
        <v>1.375</v>
      </c>
      <c r="I638" s="1">
        <v>1.507</v>
      </c>
      <c r="J638" s="1">
        <v>20.8273797703175</v>
      </c>
      <c r="K638" t="str">
        <f t="shared" si="54"/>
        <v>没有热量缺口</v>
      </c>
      <c r="L638" s="2">
        <f t="shared" si="55"/>
        <v>1088.875</v>
      </c>
      <c r="M638" s="2">
        <f t="shared" si="56"/>
        <v>1497.203125</v>
      </c>
      <c r="N638" s="2">
        <f t="shared" si="57"/>
        <v>-265.796875</v>
      </c>
      <c r="O638" s="2">
        <f t="shared" si="58"/>
        <v>260.15</v>
      </c>
      <c r="P638" s="2">
        <f t="shared" si="59"/>
        <v>520.3</v>
      </c>
    </row>
    <row r="639" spans="1:16">
      <c r="A639" s="1">
        <v>638</v>
      </c>
      <c r="B639" s="1">
        <v>21</v>
      </c>
      <c r="C639" s="1" t="s">
        <v>16</v>
      </c>
      <c r="D639" s="1">
        <v>181.8</v>
      </c>
      <c r="E639" s="1">
        <v>118.7</v>
      </c>
      <c r="F639" s="1">
        <v>3578</v>
      </c>
      <c r="G639" s="1" t="s">
        <v>20</v>
      </c>
      <c r="H639" s="1">
        <v>1.55</v>
      </c>
      <c r="I639" s="1">
        <v>1.818</v>
      </c>
      <c r="J639" s="1">
        <v>35.9139324273461</v>
      </c>
      <c r="K639" t="str">
        <f t="shared" si="54"/>
        <v>没有热量缺口</v>
      </c>
      <c r="L639" s="2">
        <f t="shared" si="55"/>
        <v>2223.25</v>
      </c>
      <c r="M639" s="2">
        <f t="shared" si="56"/>
        <v>3446.0375</v>
      </c>
      <c r="N639" s="2">
        <f t="shared" si="57"/>
        <v>-131.9625</v>
      </c>
      <c r="O639" s="2">
        <f t="shared" si="58"/>
        <v>652.85</v>
      </c>
      <c r="P639" s="2">
        <f t="shared" si="59"/>
        <v>1305.7</v>
      </c>
    </row>
    <row r="640" spans="1:16">
      <c r="A640" s="1">
        <v>639</v>
      </c>
      <c r="B640" s="1">
        <v>33</v>
      </c>
      <c r="C640" s="1" t="s">
        <v>16</v>
      </c>
      <c r="D640" s="1">
        <v>174.4</v>
      </c>
      <c r="E640" s="1">
        <v>81.9</v>
      </c>
      <c r="F640" s="1">
        <v>800</v>
      </c>
      <c r="G640" s="1" t="s">
        <v>19</v>
      </c>
      <c r="H640" s="1">
        <v>1.2</v>
      </c>
      <c r="I640" s="1">
        <v>1.744</v>
      </c>
      <c r="J640" s="1">
        <v>26.9271841595825</v>
      </c>
      <c r="K640" t="str">
        <f t="shared" si="54"/>
        <v>缺口过大</v>
      </c>
      <c r="L640" s="2">
        <f t="shared" si="55"/>
        <v>1749</v>
      </c>
      <c r="M640" s="2">
        <f t="shared" si="56"/>
        <v>2098.8</v>
      </c>
      <c r="N640" s="2">
        <f t="shared" si="57"/>
        <v>1298.8</v>
      </c>
      <c r="O640" s="2">
        <f t="shared" si="58"/>
        <v>450.45</v>
      </c>
      <c r="P640" s="2">
        <f t="shared" si="59"/>
        <v>900.9</v>
      </c>
    </row>
    <row r="641" spans="1:16">
      <c r="A641" s="1">
        <v>640</v>
      </c>
      <c r="B641" s="1">
        <v>33</v>
      </c>
      <c r="C641" s="1" t="s">
        <v>16</v>
      </c>
      <c r="D641" s="1">
        <v>176.6</v>
      </c>
      <c r="E641" s="1">
        <v>92.4</v>
      </c>
      <c r="F641" s="1">
        <v>780</v>
      </c>
      <c r="G641" s="1" t="s">
        <v>17</v>
      </c>
      <c r="H641" s="1">
        <v>1.375</v>
      </c>
      <c r="I641" s="1">
        <v>1.766</v>
      </c>
      <c r="J641" s="1">
        <v>29.6271975108023</v>
      </c>
      <c r="K641" t="str">
        <f t="shared" si="54"/>
        <v>缺口过大</v>
      </c>
      <c r="L641" s="2">
        <f t="shared" si="55"/>
        <v>1867.75</v>
      </c>
      <c r="M641" s="2">
        <f t="shared" si="56"/>
        <v>2568.15625</v>
      </c>
      <c r="N641" s="2">
        <f t="shared" si="57"/>
        <v>1788.15625</v>
      </c>
      <c r="O641" s="2">
        <f t="shared" si="58"/>
        <v>508.2</v>
      </c>
      <c r="P641" s="2">
        <f t="shared" si="59"/>
        <v>1016.4</v>
      </c>
    </row>
    <row r="642" spans="1:16">
      <c r="A642" s="1">
        <v>641</v>
      </c>
      <c r="B642" s="1">
        <v>27</v>
      </c>
      <c r="C642" s="1" t="s">
        <v>18</v>
      </c>
      <c r="D642" s="1">
        <v>164.6</v>
      </c>
      <c r="E642" s="1">
        <v>72.2</v>
      </c>
      <c r="F642" s="1">
        <v>2422</v>
      </c>
      <c r="G642" s="1" t="s">
        <v>17</v>
      </c>
      <c r="H642" s="1">
        <v>1.375</v>
      </c>
      <c r="I642" s="1">
        <v>1.646</v>
      </c>
      <c r="J642" s="1">
        <v>26.6487925365664</v>
      </c>
      <c r="K642" t="str">
        <f t="shared" ref="K642:K705" si="60">IF(N642&lt;=0,"没有热量缺口",IF(N642&lt;O642,"缺口过小",IF(N642&lt;=P642,"缺口合适","缺口过大")))</f>
        <v>没有热量缺口</v>
      </c>
      <c r="L642" s="2">
        <f t="shared" ref="L642:L705" si="61">IF(C642="male",10*E642+6.25*D642-5*B642+5,10*E642+6.25*D642-5*B642-161)</f>
        <v>1454.75</v>
      </c>
      <c r="M642" s="2">
        <f t="shared" ref="M642:M705" si="62">L642*H642</f>
        <v>2000.28125</v>
      </c>
      <c r="N642" s="2">
        <f t="shared" ref="N642:N705" si="63">M642-F642</f>
        <v>-421.71875</v>
      </c>
      <c r="O642" s="2">
        <f t="shared" ref="O642:O705" si="64">E642*0.005*7700/7</f>
        <v>397.1</v>
      </c>
      <c r="P642" s="2">
        <f t="shared" ref="P642:P705" si="65">E642*0.01*7700/7</f>
        <v>794.2</v>
      </c>
    </row>
    <row r="643" spans="1:16">
      <c r="A643" s="1">
        <v>642</v>
      </c>
      <c r="B643" s="1">
        <v>30</v>
      </c>
      <c r="C643" s="1" t="s">
        <v>18</v>
      </c>
      <c r="D643" s="1">
        <v>171.4</v>
      </c>
      <c r="E643" s="1">
        <v>72.2</v>
      </c>
      <c r="F643" s="1">
        <v>3589</v>
      </c>
      <c r="G643" s="1" t="s">
        <v>21</v>
      </c>
      <c r="H643" s="1">
        <v>1.725</v>
      </c>
      <c r="I643" s="1">
        <v>1.714</v>
      </c>
      <c r="J643" s="1">
        <v>24.5762469552004</v>
      </c>
      <c r="K643" t="str">
        <f t="shared" si="60"/>
        <v>没有热量缺口</v>
      </c>
      <c r="L643" s="2">
        <f t="shared" si="61"/>
        <v>1482.25</v>
      </c>
      <c r="M643" s="2">
        <f t="shared" si="62"/>
        <v>2556.88125</v>
      </c>
      <c r="N643" s="2">
        <f t="shared" si="63"/>
        <v>-1032.11875</v>
      </c>
      <c r="O643" s="2">
        <f t="shared" si="64"/>
        <v>397.1</v>
      </c>
      <c r="P643" s="2">
        <f t="shared" si="65"/>
        <v>794.2</v>
      </c>
    </row>
    <row r="644" spans="1:16">
      <c r="A644" s="1">
        <v>643</v>
      </c>
      <c r="B644" s="1">
        <v>29</v>
      </c>
      <c r="C644" s="1" t="s">
        <v>18</v>
      </c>
      <c r="D644" s="1">
        <v>160.6</v>
      </c>
      <c r="E644" s="1">
        <v>56</v>
      </c>
      <c r="F644" s="1">
        <v>1633</v>
      </c>
      <c r="G644" s="1" t="s">
        <v>21</v>
      </c>
      <c r="H644" s="1">
        <v>1.725</v>
      </c>
      <c r="I644" s="1">
        <v>1.60599999999999</v>
      </c>
      <c r="J644" s="1">
        <v>21.7118557588371</v>
      </c>
      <c r="K644" t="str">
        <f t="shared" si="60"/>
        <v>缺口合适</v>
      </c>
      <c r="L644" s="2">
        <f t="shared" si="61"/>
        <v>1257.75</v>
      </c>
      <c r="M644" s="2">
        <f t="shared" si="62"/>
        <v>2169.61875</v>
      </c>
      <c r="N644" s="2">
        <f t="shared" si="63"/>
        <v>536.61875</v>
      </c>
      <c r="O644" s="2">
        <f t="shared" si="64"/>
        <v>308</v>
      </c>
      <c r="P644" s="2">
        <f t="shared" si="65"/>
        <v>616</v>
      </c>
    </row>
    <row r="645" spans="1:16">
      <c r="A645" s="1">
        <v>644</v>
      </c>
      <c r="B645" s="1">
        <v>24</v>
      </c>
      <c r="C645" s="1" t="s">
        <v>16</v>
      </c>
      <c r="D645" s="1">
        <v>165.6</v>
      </c>
      <c r="E645" s="1">
        <v>64.8</v>
      </c>
      <c r="F645" s="1">
        <v>855</v>
      </c>
      <c r="G645" s="1" t="s">
        <v>21</v>
      </c>
      <c r="H645" s="1">
        <v>1.725</v>
      </c>
      <c r="I645" s="1">
        <v>1.656</v>
      </c>
      <c r="J645" s="1">
        <v>23.6294896030245</v>
      </c>
      <c r="K645" t="str">
        <f t="shared" si="60"/>
        <v>缺口过大</v>
      </c>
      <c r="L645" s="2">
        <f t="shared" si="61"/>
        <v>1568</v>
      </c>
      <c r="M645" s="2">
        <f t="shared" si="62"/>
        <v>2704.8</v>
      </c>
      <c r="N645" s="2">
        <f t="shared" si="63"/>
        <v>1849.8</v>
      </c>
      <c r="O645" s="2">
        <f t="shared" si="64"/>
        <v>356.4</v>
      </c>
      <c r="P645" s="2">
        <f t="shared" si="65"/>
        <v>712.8</v>
      </c>
    </row>
    <row r="646" spans="1:16">
      <c r="A646" s="1">
        <v>645</v>
      </c>
      <c r="B646" s="1">
        <v>25</v>
      </c>
      <c r="C646" s="1" t="s">
        <v>18</v>
      </c>
      <c r="D646" s="1">
        <v>178.4</v>
      </c>
      <c r="E646" s="1">
        <v>78.8</v>
      </c>
      <c r="F646" s="1">
        <v>1997</v>
      </c>
      <c r="G646" s="1" t="s">
        <v>17</v>
      </c>
      <c r="H646" s="1">
        <v>1.375</v>
      </c>
      <c r="I646" s="1">
        <v>1.784</v>
      </c>
      <c r="J646" s="1">
        <v>24.7591948360111</v>
      </c>
      <c r="K646" t="str">
        <f t="shared" si="60"/>
        <v>缺口过小</v>
      </c>
      <c r="L646" s="2">
        <f t="shared" si="61"/>
        <v>1617</v>
      </c>
      <c r="M646" s="2">
        <f t="shared" si="62"/>
        <v>2223.375</v>
      </c>
      <c r="N646" s="2">
        <f t="shared" si="63"/>
        <v>226.375</v>
      </c>
      <c r="O646" s="2">
        <f t="shared" si="64"/>
        <v>433.4</v>
      </c>
      <c r="P646" s="2">
        <f t="shared" si="65"/>
        <v>866.8</v>
      </c>
    </row>
    <row r="647" spans="1:16">
      <c r="A647" s="1">
        <v>646</v>
      </c>
      <c r="B647" s="1">
        <v>22</v>
      </c>
      <c r="C647" s="1" t="s">
        <v>18</v>
      </c>
      <c r="D647" s="1">
        <v>166.6</v>
      </c>
      <c r="E647" s="1">
        <v>64.7</v>
      </c>
      <c r="F647" s="1">
        <v>717</v>
      </c>
      <c r="G647" s="1" t="s">
        <v>20</v>
      </c>
      <c r="H647" s="1">
        <v>1.55</v>
      </c>
      <c r="I647" s="1">
        <v>1.666</v>
      </c>
      <c r="J647" s="1">
        <v>23.3106447861257</v>
      </c>
      <c r="K647" t="str">
        <f t="shared" si="60"/>
        <v>缺口过大</v>
      </c>
      <c r="L647" s="2">
        <f t="shared" si="61"/>
        <v>1417.25</v>
      </c>
      <c r="M647" s="2">
        <f t="shared" si="62"/>
        <v>2196.7375</v>
      </c>
      <c r="N647" s="2">
        <f t="shared" si="63"/>
        <v>1479.7375</v>
      </c>
      <c r="O647" s="2">
        <f t="shared" si="64"/>
        <v>355.85</v>
      </c>
      <c r="P647" s="2">
        <f t="shared" si="65"/>
        <v>711.7</v>
      </c>
    </row>
    <row r="648" spans="1:16">
      <c r="A648" s="1">
        <v>647</v>
      </c>
      <c r="B648" s="1">
        <v>26</v>
      </c>
      <c r="C648" s="1" t="s">
        <v>18</v>
      </c>
      <c r="D648" s="1">
        <v>161.4</v>
      </c>
      <c r="E648" s="1">
        <v>106.6</v>
      </c>
      <c r="F648" s="1">
        <v>1682</v>
      </c>
      <c r="G648" s="1" t="s">
        <v>17</v>
      </c>
      <c r="H648" s="1">
        <v>1.375</v>
      </c>
      <c r="I648" s="1">
        <v>1.614</v>
      </c>
      <c r="J648" s="1">
        <v>40.9213680174556</v>
      </c>
      <c r="K648" t="str">
        <f t="shared" si="60"/>
        <v>缺口合适</v>
      </c>
      <c r="L648" s="2">
        <f t="shared" si="61"/>
        <v>1783.75</v>
      </c>
      <c r="M648" s="2">
        <f t="shared" si="62"/>
        <v>2452.65625</v>
      </c>
      <c r="N648" s="2">
        <f t="shared" si="63"/>
        <v>770.65625</v>
      </c>
      <c r="O648" s="2">
        <f t="shared" si="64"/>
        <v>586.3</v>
      </c>
      <c r="P648" s="2">
        <f t="shared" si="65"/>
        <v>1172.6</v>
      </c>
    </row>
    <row r="649" spans="1:16">
      <c r="A649" s="1">
        <v>648</v>
      </c>
      <c r="B649" s="1">
        <v>34</v>
      </c>
      <c r="C649" s="1" t="s">
        <v>18</v>
      </c>
      <c r="D649" s="1">
        <v>166.1</v>
      </c>
      <c r="E649" s="1">
        <v>90.1</v>
      </c>
      <c r="F649" s="1">
        <v>1746</v>
      </c>
      <c r="G649" s="1" t="s">
        <v>17</v>
      </c>
      <c r="H649" s="1">
        <v>1.375</v>
      </c>
      <c r="I649" s="1">
        <v>1.661</v>
      </c>
      <c r="J649" s="1">
        <v>32.6576948016996</v>
      </c>
      <c r="K649" t="str">
        <f t="shared" si="60"/>
        <v>缺口过小</v>
      </c>
      <c r="L649" s="2">
        <f t="shared" si="61"/>
        <v>1608.125</v>
      </c>
      <c r="M649" s="2">
        <f t="shared" si="62"/>
        <v>2211.171875</v>
      </c>
      <c r="N649" s="2">
        <f t="shared" si="63"/>
        <v>465.171875</v>
      </c>
      <c r="O649" s="2">
        <f t="shared" si="64"/>
        <v>495.55</v>
      </c>
      <c r="P649" s="2">
        <f t="shared" si="65"/>
        <v>991.1</v>
      </c>
    </row>
    <row r="650" spans="1:16">
      <c r="A650" s="1">
        <v>649</v>
      </c>
      <c r="B650" s="1">
        <v>22</v>
      </c>
      <c r="C650" s="1" t="s">
        <v>16</v>
      </c>
      <c r="D650" s="1">
        <v>178.6</v>
      </c>
      <c r="E650" s="1">
        <v>111.9</v>
      </c>
      <c r="F650" s="1">
        <v>1947</v>
      </c>
      <c r="G650" s="1" t="s">
        <v>21</v>
      </c>
      <c r="H650" s="1">
        <v>1.725</v>
      </c>
      <c r="I650" s="1">
        <v>1.786</v>
      </c>
      <c r="J650" s="1">
        <v>35.0806133056784</v>
      </c>
      <c r="K650" t="str">
        <f t="shared" si="60"/>
        <v>缺口过大</v>
      </c>
      <c r="L650" s="2">
        <f t="shared" si="61"/>
        <v>2130.25</v>
      </c>
      <c r="M650" s="2">
        <f t="shared" si="62"/>
        <v>3674.68125</v>
      </c>
      <c r="N650" s="2">
        <f t="shared" si="63"/>
        <v>1727.68125</v>
      </c>
      <c r="O650" s="2">
        <f t="shared" si="64"/>
        <v>615.45</v>
      </c>
      <c r="P650" s="2">
        <f t="shared" si="65"/>
        <v>1230.9</v>
      </c>
    </row>
    <row r="651" spans="1:16">
      <c r="A651" s="1">
        <v>650</v>
      </c>
      <c r="B651" s="1">
        <v>32</v>
      </c>
      <c r="C651" s="1" t="s">
        <v>16</v>
      </c>
      <c r="D651" s="1">
        <v>187</v>
      </c>
      <c r="E651" s="1">
        <v>86.1</v>
      </c>
      <c r="F651" s="1">
        <v>2319</v>
      </c>
      <c r="G651" s="1" t="s">
        <v>20</v>
      </c>
      <c r="H651" s="1">
        <v>1.55</v>
      </c>
      <c r="I651" s="1">
        <v>1.87</v>
      </c>
      <c r="J651" s="1">
        <v>24.6218078869856</v>
      </c>
      <c r="K651" t="str">
        <f t="shared" si="60"/>
        <v>缺口合适</v>
      </c>
      <c r="L651" s="2">
        <f t="shared" si="61"/>
        <v>1874.75</v>
      </c>
      <c r="M651" s="2">
        <f t="shared" si="62"/>
        <v>2905.8625</v>
      </c>
      <c r="N651" s="2">
        <f t="shared" si="63"/>
        <v>586.8625</v>
      </c>
      <c r="O651" s="2">
        <f t="shared" si="64"/>
        <v>473.55</v>
      </c>
      <c r="P651" s="2">
        <f t="shared" si="65"/>
        <v>947.1</v>
      </c>
    </row>
    <row r="652" spans="1:16">
      <c r="A652" s="1">
        <v>651</v>
      </c>
      <c r="B652" s="1">
        <v>35</v>
      </c>
      <c r="C652" s="1" t="s">
        <v>18</v>
      </c>
      <c r="D652" s="1">
        <v>162.2</v>
      </c>
      <c r="E652" s="1">
        <v>106.6</v>
      </c>
      <c r="F652" s="1">
        <v>1049</v>
      </c>
      <c r="G652" s="1" t="s">
        <v>21</v>
      </c>
      <c r="H652" s="1">
        <v>1.725</v>
      </c>
      <c r="I652" s="1">
        <v>1.62199999999999</v>
      </c>
      <c r="J652" s="1">
        <v>40.5187001783431</v>
      </c>
      <c r="K652" t="str">
        <f t="shared" si="60"/>
        <v>缺口过大</v>
      </c>
      <c r="L652" s="2">
        <f t="shared" si="61"/>
        <v>1743.75</v>
      </c>
      <c r="M652" s="2">
        <f t="shared" si="62"/>
        <v>3007.96875</v>
      </c>
      <c r="N652" s="2">
        <f t="shared" si="63"/>
        <v>1958.96875</v>
      </c>
      <c r="O652" s="2">
        <f t="shared" si="64"/>
        <v>586.3</v>
      </c>
      <c r="P652" s="2">
        <f t="shared" si="65"/>
        <v>1172.6</v>
      </c>
    </row>
    <row r="653" spans="1:16">
      <c r="A653" s="1">
        <v>652</v>
      </c>
      <c r="B653" s="1">
        <v>31</v>
      </c>
      <c r="C653" s="1" t="s">
        <v>16</v>
      </c>
      <c r="D653" s="1">
        <v>180.9</v>
      </c>
      <c r="E653" s="1">
        <v>56.1</v>
      </c>
      <c r="F653" s="1">
        <v>2000</v>
      </c>
      <c r="G653" s="1" t="s">
        <v>19</v>
      </c>
      <c r="H653" s="1">
        <v>1.2</v>
      </c>
      <c r="I653" s="1">
        <v>1.809</v>
      </c>
      <c r="J653" s="1">
        <v>17.1429566741563</v>
      </c>
      <c r="K653" t="str">
        <f t="shared" si="60"/>
        <v>没有热量缺口</v>
      </c>
      <c r="L653" s="2">
        <f t="shared" si="61"/>
        <v>1541.625</v>
      </c>
      <c r="M653" s="2">
        <f t="shared" si="62"/>
        <v>1849.95</v>
      </c>
      <c r="N653" s="2">
        <f t="shared" si="63"/>
        <v>-150.05</v>
      </c>
      <c r="O653" s="2">
        <f t="shared" si="64"/>
        <v>308.55</v>
      </c>
      <c r="P653" s="2">
        <f t="shared" si="65"/>
        <v>617.1</v>
      </c>
    </row>
    <row r="654" spans="1:16">
      <c r="A654" s="1">
        <v>653</v>
      </c>
      <c r="B654" s="1">
        <v>34</v>
      </c>
      <c r="C654" s="1" t="s">
        <v>18</v>
      </c>
      <c r="D654" s="1">
        <v>165</v>
      </c>
      <c r="E654" s="1">
        <v>79.7</v>
      </c>
      <c r="F654" s="1">
        <v>1206</v>
      </c>
      <c r="G654" s="1" t="s">
        <v>21</v>
      </c>
      <c r="H654" s="1">
        <v>1.725</v>
      </c>
      <c r="I654" s="1">
        <v>1.65</v>
      </c>
      <c r="J654" s="1">
        <v>29.2745638200183</v>
      </c>
      <c r="K654" t="str">
        <f t="shared" si="60"/>
        <v>缺口过大</v>
      </c>
      <c r="L654" s="2">
        <f t="shared" si="61"/>
        <v>1497.25</v>
      </c>
      <c r="M654" s="2">
        <f t="shared" si="62"/>
        <v>2582.75625</v>
      </c>
      <c r="N654" s="2">
        <f t="shared" si="63"/>
        <v>1376.75625</v>
      </c>
      <c r="O654" s="2">
        <f t="shared" si="64"/>
        <v>438.35</v>
      </c>
      <c r="P654" s="2">
        <f t="shared" si="65"/>
        <v>876.7</v>
      </c>
    </row>
    <row r="655" spans="1:16">
      <c r="A655" s="1">
        <v>654</v>
      </c>
      <c r="B655" s="1">
        <v>24</v>
      </c>
      <c r="C655" s="1" t="s">
        <v>18</v>
      </c>
      <c r="D655" s="1">
        <v>174.6</v>
      </c>
      <c r="E655" s="1">
        <v>68.3</v>
      </c>
      <c r="F655" s="1">
        <v>3055</v>
      </c>
      <c r="G655" s="1" t="s">
        <v>17</v>
      </c>
      <c r="H655" s="1">
        <v>1.375</v>
      </c>
      <c r="I655" s="1">
        <v>1.746</v>
      </c>
      <c r="J655" s="1">
        <v>22.4043436216178</v>
      </c>
      <c r="K655" t="str">
        <f t="shared" si="60"/>
        <v>没有热量缺口</v>
      </c>
      <c r="L655" s="2">
        <f t="shared" si="61"/>
        <v>1493.25</v>
      </c>
      <c r="M655" s="2">
        <f t="shared" si="62"/>
        <v>2053.21875</v>
      </c>
      <c r="N655" s="2">
        <f t="shared" si="63"/>
        <v>-1001.78125</v>
      </c>
      <c r="O655" s="2">
        <f t="shared" si="64"/>
        <v>375.65</v>
      </c>
      <c r="P655" s="2">
        <f t="shared" si="65"/>
        <v>751.3</v>
      </c>
    </row>
    <row r="656" spans="1:16">
      <c r="A656" s="1">
        <v>655</v>
      </c>
      <c r="B656" s="1">
        <v>29</v>
      </c>
      <c r="C656" s="1" t="s">
        <v>18</v>
      </c>
      <c r="D656" s="1">
        <v>163.6</v>
      </c>
      <c r="E656" s="1">
        <v>61.5</v>
      </c>
      <c r="F656" s="1">
        <v>2048</v>
      </c>
      <c r="G656" s="1" t="s">
        <v>17</v>
      </c>
      <c r="H656" s="1">
        <v>1.375</v>
      </c>
      <c r="I656" s="1">
        <v>1.636</v>
      </c>
      <c r="J656" s="1">
        <v>22.9778038151374</v>
      </c>
      <c r="K656" t="str">
        <f t="shared" si="60"/>
        <v>没有热量缺口</v>
      </c>
      <c r="L656" s="2">
        <f t="shared" si="61"/>
        <v>1331.5</v>
      </c>
      <c r="M656" s="2">
        <f t="shared" si="62"/>
        <v>1830.8125</v>
      </c>
      <c r="N656" s="2">
        <f t="shared" si="63"/>
        <v>-217.1875</v>
      </c>
      <c r="O656" s="2">
        <f t="shared" si="64"/>
        <v>338.25</v>
      </c>
      <c r="P656" s="2">
        <f t="shared" si="65"/>
        <v>676.5</v>
      </c>
    </row>
    <row r="657" spans="1:16">
      <c r="A657" s="1">
        <v>656</v>
      </c>
      <c r="B657" s="1">
        <v>31</v>
      </c>
      <c r="C657" s="1" t="s">
        <v>18</v>
      </c>
      <c r="D657" s="1">
        <v>175.2</v>
      </c>
      <c r="E657" s="1">
        <v>82.4</v>
      </c>
      <c r="F657" s="1">
        <v>2698</v>
      </c>
      <c r="G657" s="1" t="s">
        <v>19</v>
      </c>
      <c r="H657" s="1">
        <v>1.2</v>
      </c>
      <c r="I657" s="1">
        <v>1.75199999999999</v>
      </c>
      <c r="J657" s="1">
        <v>26.8447280081733</v>
      </c>
      <c r="K657" t="str">
        <f t="shared" si="60"/>
        <v>没有热量缺口</v>
      </c>
      <c r="L657" s="2">
        <f t="shared" si="61"/>
        <v>1603</v>
      </c>
      <c r="M657" s="2">
        <f t="shared" si="62"/>
        <v>1923.6</v>
      </c>
      <c r="N657" s="2">
        <f t="shared" si="63"/>
        <v>-774.4</v>
      </c>
      <c r="O657" s="2">
        <f t="shared" si="64"/>
        <v>453.2</v>
      </c>
      <c r="P657" s="2">
        <f t="shared" si="65"/>
        <v>906.4</v>
      </c>
    </row>
    <row r="658" spans="1:16">
      <c r="A658" s="1">
        <v>657</v>
      </c>
      <c r="B658" s="1">
        <v>27</v>
      </c>
      <c r="C658" s="1" t="s">
        <v>18</v>
      </c>
      <c r="D658" s="1">
        <v>167.6</v>
      </c>
      <c r="E658" s="1">
        <v>78.2</v>
      </c>
      <c r="F658" s="1">
        <v>3213</v>
      </c>
      <c r="G658" s="1" t="s">
        <v>19</v>
      </c>
      <c r="H658" s="1">
        <v>1.2</v>
      </c>
      <c r="I658" s="1">
        <v>1.676</v>
      </c>
      <c r="J658" s="1">
        <v>27.8393265018996</v>
      </c>
      <c r="K658" t="str">
        <f t="shared" si="60"/>
        <v>没有热量缺口</v>
      </c>
      <c r="L658" s="2">
        <f t="shared" si="61"/>
        <v>1533.5</v>
      </c>
      <c r="M658" s="2">
        <f t="shared" si="62"/>
        <v>1840.2</v>
      </c>
      <c r="N658" s="2">
        <f t="shared" si="63"/>
        <v>-1372.8</v>
      </c>
      <c r="O658" s="2">
        <f t="shared" si="64"/>
        <v>430.1</v>
      </c>
      <c r="P658" s="2">
        <f t="shared" si="65"/>
        <v>860.2</v>
      </c>
    </row>
    <row r="659" spans="1:16">
      <c r="A659" s="1">
        <v>658</v>
      </c>
      <c r="B659" s="1">
        <v>25</v>
      </c>
      <c r="C659" s="1" t="s">
        <v>16</v>
      </c>
      <c r="D659" s="1">
        <v>185</v>
      </c>
      <c r="E659" s="1">
        <v>121.1</v>
      </c>
      <c r="F659" s="1">
        <v>5606</v>
      </c>
      <c r="G659" s="1" t="s">
        <v>21</v>
      </c>
      <c r="H659" s="1">
        <v>1.725</v>
      </c>
      <c r="I659" s="1">
        <v>1.85</v>
      </c>
      <c r="J659" s="1">
        <v>35.3834915997078</v>
      </c>
      <c r="K659" t="str">
        <f t="shared" si="60"/>
        <v>没有热量缺口</v>
      </c>
      <c r="L659" s="2">
        <f t="shared" si="61"/>
        <v>2247.25</v>
      </c>
      <c r="M659" s="2">
        <f t="shared" si="62"/>
        <v>3876.50625</v>
      </c>
      <c r="N659" s="2">
        <f t="shared" si="63"/>
        <v>-1729.49375</v>
      </c>
      <c r="O659" s="2">
        <f t="shared" si="64"/>
        <v>666.05</v>
      </c>
      <c r="P659" s="2">
        <f t="shared" si="65"/>
        <v>1332.1</v>
      </c>
    </row>
    <row r="660" spans="1:16">
      <c r="A660" s="1">
        <v>659</v>
      </c>
      <c r="B660" s="1">
        <v>35</v>
      </c>
      <c r="C660" s="1" t="s">
        <v>18</v>
      </c>
      <c r="D660" s="1">
        <v>160.9</v>
      </c>
      <c r="E660" s="1">
        <v>52.7</v>
      </c>
      <c r="F660" s="1">
        <v>3070</v>
      </c>
      <c r="G660" s="1" t="s">
        <v>17</v>
      </c>
      <c r="H660" s="1">
        <v>1.375</v>
      </c>
      <c r="I660" s="1">
        <v>1.609</v>
      </c>
      <c r="J660" s="1">
        <v>20.3562852058476</v>
      </c>
      <c r="K660" t="str">
        <f t="shared" si="60"/>
        <v>没有热量缺口</v>
      </c>
      <c r="L660" s="2">
        <f t="shared" si="61"/>
        <v>1196.625</v>
      </c>
      <c r="M660" s="2">
        <f t="shared" si="62"/>
        <v>1645.359375</v>
      </c>
      <c r="N660" s="2">
        <f t="shared" si="63"/>
        <v>-1424.640625</v>
      </c>
      <c r="O660" s="2">
        <f t="shared" si="64"/>
        <v>289.85</v>
      </c>
      <c r="P660" s="2">
        <f t="shared" si="65"/>
        <v>579.7</v>
      </c>
    </row>
    <row r="661" spans="1:16">
      <c r="A661" s="1">
        <v>660</v>
      </c>
      <c r="B661" s="1">
        <v>23</v>
      </c>
      <c r="C661" s="1" t="s">
        <v>18</v>
      </c>
      <c r="D661" s="1">
        <v>154</v>
      </c>
      <c r="E661" s="1">
        <v>62.87</v>
      </c>
      <c r="F661" s="1">
        <v>1869</v>
      </c>
      <c r="G661" s="1" t="s">
        <v>21</v>
      </c>
      <c r="H661" s="1">
        <v>1.725</v>
      </c>
      <c r="I661" s="1">
        <v>1.54</v>
      </c>
      <c r="J661" s="1">
        <v>26.5095294316073</v>
      </c>
      <c r="K661" t="str">
        <f t="shared" si="60"/>
        <v>缺口合适</v>
      </c>
      <c r="L661" s="2">
        <f t="shared" si="61"/>
        <v>1315.2</v>
      </c>
      <c r="M661" s="2">
        <f t="shared" si="62"/>
        <v>2268.72</v>
      </c>
      <c r="N661" s="2">
        <f t="shared" si="63"/>
        <v>399.72</v>
      </c>
      <c r="O661" s="2">
        <f t="shared" si="64"/>
        <v>345.785</v>
      </c>
      <c r="P661" s="2">
        <f t="shared" si="65"/>
        <v>691.57</v>
      </c>
    </row>
    <row r="662" spans="1:16">
      <c r="A662" s="1">
        <v>661</v>
      </c>
      <c r="B662" s="1">
        <v>33</v>
      </c>
      <c r="C662" s="1" t="s">
        <v>16</v>
      </c>
      <c r="D662" s="1">
        <v>173.9</v>
      </c>
      <c r="E662" s="1">
        <v>58.1</v>
      </c>
      <c r="F662" s="1">
        <v>3342</v>
      </c>
      <c r="G662" s="1" t="s">
        <v>17</v>
      </c>
      <c r="H662" s="1">
        <v>1.375</v>
      </c>
      <c r="I662" s="1">
        <v>1.739</v>
      </c>
      <c r="J662" s="1">
        <v>19.2121942210645</v>
      </c>
      <c r="K662" t="str">
        <f t="shared" si="60"/>
        <v>没有热量缺口</v>
      </c>
      <c r="L662" s="2">
        <f t="shared" si="61"/>
        <v>1507.875</v>
      </c>
      <c r="M662" s="2">
        <f t="shared" si="62"/>
        <v>2073.328125</v>
      </c>
      <c r="N662" s="2">
        <f t="shared" si="63"/>
        <v>-1268.671875</v>
      </c>
      <c r="O662" s="2">
        <f t="shared" si="64"/>
        <v>319.55</v>
      </c>
      <c r="P662" s="2">
        <f t="shared" si="65"/>
        <v>639.1</v>
      </c>
    </row>
    <row r="663" spans="1:16">
      <c r="A663" s="1">
        <v>662</v>
      </c>
      <c r="B663" s="1">
        <v>35</v>
      </c>
      <c r="C663" s="1" t="s">
        <v>16</v>
      </c>
      <c r="D663" s="1">
        <v>175.6</v>
      </c>
      <c r="E663" s="1">
        <v>110.1</v>
      </c>
      <c r="F663" s="1">
        <v>2931</v>
      </c>
      <c r="G663" s="1" t="s">
        <v>21</v>
      </c>
      <c r="H663" s="1">
        <v>1.725</v>
      </c>
      <c r="I663" s="1">
        <v>1.756</v>
      </c>
      <c r="J663" s="1">
        <v>35.705761178076</v>
      </c>
      <c r="K663" t="str">
        <f t="shared" si="60"/>
        <v>缺口过小</v>
      </c>
      <c r="L663" s="2">
        <f t="shared" si="61"/>
        <v>2028.5</v>
      </c>
      <c r="M663" s="2">
        <f t="shared" si="62"/>
        <v>3499.1625</v>
      </c>
      <c r="N663" s="2">
        <f t="shared" si="63"/>
        <v>568.1625</v>
      </c>
      <c r="O663" s="2">
        <f t="shared" si="64"/>
        <v>605.55</v>
      </c>
      <c r="P663" s="2">
        <f t="shared" si="65"/>
        <v>1211.1</v>
      </c>
    </row>
    <row r="664" spans="1:16">
      <c r="A664" s="1">
        <v>663</v>
      </c>
      <c r="B664" s="1">
        <v>25</v>
      </c>
      <c r="C664" s="1" t="s">
        <v>18</v>
      </c>
      <c r="D664" s="1">
        <v>171.6</v>
      </c>
      <c r="E664" s="1">
        <v>131.8</v>
      </c>
      <c r="F664" s="1">
        <v>1934</v>
      </c>
      <c r="G664" s="1" t="s">
        <v>17</v>
      </c>
      <c r="H664" s="1">
        <v>1.375</v>
      </c>
      <c r="I664" s="1">
        <v>1.716</v>
      </c>
      <c r="J664" s="1">
        <v>44.7590482555517</v>
      </c>
      <c r="K664" t="str">
        <f t="shared" si="60"/>
        <v>缺口合适</v>
      </c>
      <c r="L664" s="2">
        <f t="shared" si="61"/>
        <v>2104.5</v>
      </c>
      <c r="M664" s="2">
        <f t="shared" si="62"/>
        <v>2893.6875</v>
      </c>
      <c r="N664" s="2">
        <f t="shared" si="63"/>
        <v>959.6875</v>
      </c>
      <c r="O664" s="2">
        <f t="shared" si="64"/>
        <v>724.9</v>
      </c>
      <c r="P664" s="2">
        <f t="shared" si="65"/>
        <v>1449.8</v>
      </c>
    </row>
    <row r="665" spans="1:16">
      <c r="A665" s="1">
        <v>664</v>
      </c>
      <c r="B665" s="1">
        <v>33</v>
      </c>
      <c r="C665" s="1" t="s">
        <v>18</v>
      </c>
      <c r="D665" s="1">
        <v>154.6</v>
      </c>
      <c r="E665" s="1">
        <v>95.1</v>
      </c>
      <c r="F665" s="1">
        <v>2173</v>
      </c>
      <c r="G665" s="1" t="s">
        <v>17</v>
      </c>
      <c r="H665" s="1">
        <v>1.375</v>
      </c>
      <c r="I665" s="1">
        <v>1.546</v>
      </c>
      <c r="J665" s="1">
        <v>39.7888638040998</v>
      </c>
      <c r="K665" t="str">
        <f t="shared" si="60"/>
        <v>缺口过小</v>
      </c>
      <c r="L665" s="2">
        <f t="shared" si="61"/>
        <v>1591.25</v>
      </c>
      <c r="M665" s="2">
        <f t="shared" si="62"/>
        <v>2187.96875</v>
      </c>
      <c r="N665" s="2">
        <f t="shared" si="63"/>
        <v>14.96875</v>
      </c>
      <c r="O665" s="2">
        <f t="shared" si="64"/>
        <v>523.05</v>
      </c>
      <c r="P665" s="2">
        <f t="shared" si="65"/>
        <v>1046.1</v>
      </c>
    </row>
    <row r="666" spans="1:16">
      <c r="A666" s="1">
        <v>665</v>
      </c>
      <c r="B666" s="1">
        <v>25</v>
      </c>
      <c r="C666" s="1" t="s">
        <v>18</v>
      </c>
      <c r="D666" s="1">
        <v>163</v>
      </c>
      <c r="E666" s="1">
        <v>110.2</v>
      </c>
      <c r="F666" s="1">
        <v>1487</v>
      </c>
      <c r="G666" s="1" t="s">
        <v>21</v>
      </c>
      <c r="H666" s="1">
        <v>1.725</v>
      </c>
      <c r="I666" s="1">
        <v>1.63</v>
      </c>
      <c r="J666" s="1">
        <v>41.4769091798712</v>
      </c>
      <c r="K666" t="str">
        <f t="shared" si="60"/>
        <v>缺口过大</v>
      </c>
      <c r="L666" s="2">
        <f t="shared" si="61"/>
        <v>1834.75</v>
      </c>
      <c r="M666" s="2">
        <f t="shared" si="62"/>
        <v>3164.94375</v>
      </c>
      <c r="N666" s="2">
        <f t="shared" si="63"/>
        <v>1677.94375</v>
      </c>
      <c r="O666" s="2">
        <f t="shared" si="64"/>
        <v>606.1</v>
      </c>
      <c r="P666" s="2">
        <f t="shared" si="65"/>
        <v>1212.2</v>
      </c>
    </row>
    <row r="667" spans="1:16">
      <c r="A667" s="1">
        <v>666</v>
      </c>
      <c r="B667" s="1">
        <v>31</v>
      </c>
      <c r="C667" s="1" t="s">
        <v>18</v>
      </c>
      <c r="D667" s="1">
        <v>165</v>
      </c>
      <c r="E667" s="1">
        <v>81.4</v>
      </c>
      <c r="F667" s="1">
        <v>1473</v>
      </c>
      <c r="G667" s="1" t="s">
        <v>21</v>
      </c>
      <c r="H667" s="1">
        <v>1.725</v>
      </c>
      <c r="I667" s="1">
        <v>1.65</v>
      </c>
      <c r="J667" s="1">
        <v>29.8989898989899</v>
      </c>
      <c r="K667" t="str">
        <f t="shared" si="60"/>
        <v>缺口过大</v>
      </c>
      <c r="L667" s="2">
        <f t="shared" si="61"/>
        <v>1529.25</v>
      </c>
      <c r="M667" s="2">
        <f t="shared" si="62"/>
        <v>2637.95625</v>
      </c>
      <c r="N667" s="2">
        <f t="shared" si="63"/>
        <v>1164.95625</v>
      </c>
      <c r="O667" s="2">
        <f t="shared" si="64"/>
        <v>447.7</v>
      </c>
      <c r="P667" s="2">
        <f t="shared" si="65"/>
        <v>895.4</v>
      </c>
    </row>
    <row r="668" spans="1:16">
      <c r="A668" s="1">
        <v>667</v>
      </c>
      <c r="B668" s="1">
        <v>33</v>
      </c>
      <c r="C668" s="1" t="s">
        <v>16</v>
      </c>
      <c r="D668" s="1">
        <v>176.7</v>
      </c>
      <c r="E668" s="1">
        <v>83.6</v>
      </c>
      <c r="F668" s="1">
        <v>1030</v>
      </c>
      <c r="G668" s="1" t="s">
        <v>21</v>
      </c>
      <c r="H668" s="1">
        <v>1.725</v>
      </c>
      <c r="I668" s="1">
        <v>1.767</v>
      </c>
      <c r="J668" s="1">
        <v>26.7752280458343</v>
      </c>
      <c r="K668" t="str">
        <f t="shared" si="60"/>
        <v>缺口过大</v>
      </c>
      <c r="L668" s="2">
        <f t="shared" si="61"/>
        <v>1780.375</v>
      </c>
      <c r="M668" s="2">
        <f t="shared" si="62"/>
        <v>3071.146875</v>
      </c>
      <c r="N668" s="2">
        <f t="shared" si="63"/>
        <v>2041.146875</v>
      </c>
      <c r="O668" s="2">
        <f t="shared" si="64"/>
        <v>459.8</v>
      </c>
      <c r="P668" s="2">
        <f t="shared" si="65"/>
        <v>919.6</v>
      </c>
    </row>
    <row r="669" spans="1:16">
      <c r="A669" s="1">
        <v>668</v>
      </c>
      <c r="B669" s="1">
        <v>29</v>
      </c>
      <c r="C669" s="1" t="s">
        <v>18</v>
      </c>
      <c r="D669" s="1">
        <v>148.7</v>
      </c>
      <c r="E669" s="1">
        <v>107.5</v>
      </c>
      <c r="F669" s="1">
        <v>1761</v>
      </c>
      <c r="G669" s="1" t="s">
        <v>21</v>
      </c>
      <c r="H669" s="1">
        <v>1.725</v>
      </c>
      <c r="I669" s="1">
        <v>1.48699999999999</v>
      </c>
      <c r="J669" s="1">
        <v>48.616817620001</v>
      </c>
      <c r="K669" t="str">
        <f t="shared" si="60"/>
        <v>缺口合适</v>
      </c>
      <c r="L669" s="2">
        <f t="shared" si="61"/>
        <v>1698.375</v>
      </c>
      <c r="M669" s="2">
        <f t="shared" si="62"/>
        <v>2929.696875</v>
      </c>
      <c r="N669" s="2">
        <f t="shared" si="63"/>
        <v>1168.696875</v>
      </c>
      <c r="O669" s="2">
        <f t="shared" si="64"/>
        <v>591.25</v>
      </c>
      <c r="P669" s="2">
        <f t="shared" si="65"/>
        <v>1182.5</v>
      </c>
    </row>
    <row r="670" spans="1:16">
      <c r="A670" s="1">
        <v>669</v>
      </c>
      <c r="B670" s="1">
        <v>34</v>
      </c>
      <c r="C670" s="1" t="s">
        <v>18</v>
      </c>
      <c r="D670" s="1">
        <v>164.9</v>
      </c>
      <c r="E670" s="1">
        <v>82.5</v>
      </c>
      <c r="F670" s="1">
        <v>1494</v>
      </c>
      <c r="G670" s="1" t="s">
        <v>17</v>
      </c>
      <c r="H670" s="1">
        <v>1.375</v>
      </c>
      <c r="I670" s="1">
        <v>1.649</v>
      </c>
      <c r="J670" s="1">
        <v>30.3397946676247</v>
      </c>
      <c r="K670" t="str">
        <f t="shared" si="60"/>
        <v>缺口合适</v>
      </c>
      <c r="L670" s="2">
        <f t="shared" si="61"/>
        <v>1524.625</v>
      </c>
      <c r="M670" s="2">
        <f t="shared" si="62"/>
        <v>2096.359375</v>
      </c>
      <c r="N670" s="2">
        <f t="shared" si="63"/>
        <v>602.359375</v>
      </c>
      <c r="O670" s="2">
        <f t="shared" si="64"/>
        <v>453.75</v>
      </c>
      <c r="P670" s="2">
        <f t="shared" si="65"/>
        <v>907.5</v>
      </c>
    </row>
    <row r="671" spans="1:16">
      <c r="A671" s="1">
        <v>670</v>
      </c>
      <c r="B671" s="1">
        <v>34</v>
      </c>
      <c r="C671" s="1" t="s">
        <v>18</v>
      </c>
      <c r="D671" s="1">
        <v>160</v>
      </c>
      <c r="E671" s="1">
        <v>74.2</v>
      </c>
      <c r="F671" s="1">
        <v>1458</v>
      </c>
      <c r="G671" s="1" t="s">
        <v>21</v>
      </c>
      <c r="H671" s="1">
        <v>1.725</v>
      </c>
      <c r="I671" s="1">
        <v>1.6</v>
      </c>
      <c r="J671" s="1">
        <v>28.9843749999999</v>
      </c>
      <c r="K671" t="str">
        <f t="shared" si="60"/>
        <v>缺口过大</v>
      </c>
      <c r="L671" s="2">
        <f t="shared" si="61"/>
        <v>1411</v>
      </c>
      <c r="M671" s="2">
        <f t="shared" si="62"/>
        <v>2433.975</v>
      </c>
      <c r="N671" s="2">
        <f t="shared" si="63"/>
        <v>975.975</v>
      </c>
      <c r="O671" s="2">
        <f t="shared" si="64"/>
        <v>408.1</v>
      </c>
      <c r="P671" s="2">
        <f t="shared" si="65"/>
        <v>816.2</v>
      </c>
    </row>
    <row r="672" spans="1:16">
      <c r="A672" s="1">
        <v>671</v>
      </c>
      <c r="B672" s="1">
        <v>20</v>
      </c>
      <c r="C672" s="1" t="s">
        <v>18</v>
      </c>
      <c r="D672" s="1">
        <v>155.9</v>
      </c>
      <c r="E672" s="1">
        <v>55.4</v>
      </c>
      <c r="F672" s="1">
        <v>912</v>
      </c>
      <c r="G672" s="1" t="s">
        <v>19</v>
      </c>
      <c r="H672" s="1">
        <v>1.2</v>
      </c>
      <c r="I672" s="1">
        <v>1.559</v>
      </c>
      <c r="J672" s="1">
        <v>22.7938420419661</v>
      </c>
      <c r="K672" t="str">
        <f t="shared" si="60"/>
        <v>缺口合适</v>
      </c>
      <c r="L672" s="2">
        <f t="shared" si="61"/>
        <v>1267.375</v>
      </c>
      <c r="M672" s="2">
        <f t="shared" si="62"/>
        <v>1520.85</v>
      </c>
      <c r="N672" s="2">
        <f t="shared" si="63"/>
        <v>608.85</v>
      </c>
      <c r="O672" s="2">
        <f t="shared" si="64"/>
        <v>304.7</v>
      </c>
      <c r="P672" s="2">
        <f t="shared" si="65"/>
        <v>609.4</v>
      </c>
    </row>
    <row r="673" spans="1:16">
      <c r="A673" s="1">
        <v>672</v>
      </c>
      <c r="B673" s="1">
        <v>22</v>
      </c>
      <c r="C673" s="1" t="s">
        <v>16</v>
      </c>
      <c r="D673" s="1">
        <v>174.7</v>
      </c>
      <c r="E673" s="1">
        <v>125.4</v>
      </c>
      <c r="F673" s="1">
        <v>2919</v>
      </c>
      <c r="G673" s="1" t="s">
        <v>21</v>
      </c>
      <c r="H673" s="1">
        <v>1.725</v>
      </c>
      <c r="I673" s="1">
        <v>1.74699999999999</v>
      </c>
      <c r="J673" s="1">
        <v>41.0876901083843</v>
      </c>
      <c r="K673" t="str">
        <f t="shared" si="60"/>
        <v>缺口合适</v>
      </c>
      <c r="L673" s="2">
        <f t="shared" si="61"/>
        <v>2240.875</v>
      </c>
      <c r="M673" s="2">
        <f t="shared" si="62"/>
        <v>3865.509375</v>
      </c>
      <c r="N673" s="2">
        <f t="shared" si="63"/>
        <v>946.509375</v>
      </c>
      <c r="O673" s="2">
        <f t="shared" si="64"/>
        <v>689.7</v>
      </c>
      <c r="P673" s="2">
        <f t="shared" si="65"/>
        <v>1379.4</v>
      </c>
    </row>
    <row r="674" spans="1:16">
      <c r="A674" s="1">
        <v>673</v>
      </c>
      <c r="B674" s="1">
        <v>24</v>
      </c>
      <c r="C674" s="1" t="s">
        <v>16</v>
      </c>
      <c r="D674" s="1">
        <v>170.1</v>
      </c>
      <c r="E674" s="1">
        <v>65.2</v>
      </c>
      <c r="F674" s="1">
        <v>2438</v>
      </c>
      <c r="G674" s="1" t="s">
        <v>21</v>
      </c>
      <c r="H674" s="1">
        <v>1.725</v>
      </c>
      <c r="I674" s="1">
        <v>1.70099999999999</v>
      </c>
      <c r="J674" s="1">
        <v>22.5340352063194</v>
      </c>
      <c r="K674" t="str">
        <f t="shared" si="60"/>
        <v>缺口过小</v>
      </c>
      <c r="L674" s="2">
        <f t="shared" si="61"/>
        <v>1600.125</v>
      </c>
      <c r="M674" s="2">
        <f t="shared" si="62"/>
        <v>2760.215625</v>
      </c>
      <c r="N674" s="2">
        <f t="shared" si="63"/>
        <v>322.215625</v>
      </c>
      <c r="O674" s="2">
        <f t="shared" si="64"/>
        <v>358.6</v>
      </c>
      <c r="P674" s="2">
        <f t="shared" si="65"/>
        <v>717.2</v>
      </c>
    </row>
    <row r="675" spans="1:16">
      <c r="A675" s="1">
        <v>674</v>
      </c>
      <c r="B675" s="1">
        <v>31</v>
      </c>
      <c r="C675" s="1" t="s">
        <v>18</v>
      </c>
      <c r="D675" s="1">
        <v>171.8</v>
      </c>
      <c r="E675" s="1">
        <v>73.7</v>
      </c>
      <c r="F675" s="1">
        <v>1869</v>
      </c>
      <c r="G675" s="1" t="s">
        <v>20</v>
      </c>
      <c r="H675" s="1">
        <v>1.55</v>
      </c>
      <c r="I675" s="1">
        <v>1.718</v>
      </c>
      <c r="J675" s="1">
        <v>24.9701510135103</v>
      </c>
      <c r="K675" t="str">
        <f t="shared" si="60"/>
        <v>缺口合适</v>
      </c>
      <c r="L675" s="2">
        <f t="shared" si="61"/>
        <v>1494.75</v>
      </c>
      <c r="M675" s="2">
        <f t="shared" si="62"/>
        <v>2316.8625</v>
      </c>
      <c r="N675" s="2">
        <f t="shared" si="63"/>
        <v>447.8625</v>
      </c>
      <c r="O675" s="2">
        <f t="shared" si="64"/>
        <v>405.35</v>
      </c>
      <c r="P675" s="2">
        <f t="shared" si="65"/>
        <v>810.7</v>
      </c>
    </row>
    <row r="676" spans="1:16">
      <c r="A676" s="1">
        <v>675</v>
      </c>
      <c r="B676" s="1">
        <v>30</v>
      </c>
      <c r="C676" s="1" t="s">
        <v>16</v>
      </c>
      <c r="D676" s="1">
        <v>195.1</v>
      </c>
      <c r="E676" s="1">
        <v>93.6</v>
      </c>
      <c r="F676" s="1">
        <v>2279</v>
      </c>
      <c r="G676" s="1" t="s">
        <v>19</v>
      </c>
      <c r="H676" s="1">
        <v>1.2</v>
      </c>
      <c r="I676" s="1">
        <v>1.95099999999999</v>
      </c>
      <c r="J676" s="1">
        <v>24.5901574742125</v>
      </c>
      <c r="K676" t="str">
        <f t="shared" si="60"/>
        <v>缺口过小</v>
      </c>
      <c r="L676" s="2">
        <f t="shared" si="61"/>
        <v>2010.375</v>
      </c>
      <c r="M676" s="2">
        <f t="shared" si="62"/>
        <v>2412.45</v>
      </c>
      <c r="N676" s="2">
        <f t="shared" si="63"/>
        <v>133.45</v>
      </c>
      <c r="O676" s="2">
        <f t="shared" si="64"/>
        <v>514.8</v>
      </c>
      <c r="P676" s="2">
        <f t="shared" si="65"/>
        <v>1029.6</v>
      </c>
    </row>
    <row r="677" spans="1:16">
      <c r="A677" s="1">
        <v>676</v>
      </c>
      <c r="B677" s="1">
        <v>28</v>
      </c>
      <c r="C677" s="1" t="s">
        <v>18</v>
      </c>
      <c r="D677" s="1">
        <v>161</v>
      </c>
      <c r="E677" s="1">
        <v>82.9</v>
      </c>
      <c r="F677" s="1">
        <v>2979</v>
      </c>
      <c r="G677" s="1" t="s">
        <v>17</v>
      </c>
      <c r="H677" s="1">
        <v>1.375</v>
      </c>
      <c r="I677" s="1">
        <v>1.61</v>
      </c>
      <c r="J677" s="1">
        <v>31.9817908259712</v>
      </c>
      <c r="K677" t="str">
        <f t="shared" si="60"/>
        <v>没有热量缺口</v>
      </c>
      <c r="L677" s="2">
        <f t="shared" si="61"/>
        <v>1534.25</v>
      </c>
      <c r="M677" s="2">
        <f t="shared" si="62"/>
        <v>2109.59375</v>
      </c>
      <c r="N677" s="2">
        <f t="shared" si="63"/>
        <v>-869.40625</v>
      </c>
      <c r="O677" s="2">
        <f t="shared" si="64"/>
        <v>455.95</v>
      </c>
      <c r="P677" s="2">
        <f t="shared" si="65"/>
        <v>911.9</v>
      </c>
    </row>
    <row r="678" spans="1:16">
      <c r="A678" s="1">
        <v>677</v>
      </c>
      <c r="B678" s="1">
        <v>26</v>
      </c>
      <c r="C678" s="1" t="s">
        <v>16</v>
      </c>
      <c r="D678" s="1">
        <v>173.6</v>
      </c>
      <c r="E678" s="1">
        <v>81.1</v>
      </c>
      <c r="F678" s="1">
        <v>2673</v>
      </c>
      <c r="G678" s="1" t="s">
        <v>19</v>
      </c>
      <c r="H678" s="1">
        <v>1.2</v>
      </c>
      <c r="I678" s="1">
        <v>1.736</v>
      </c>
      <c r="J678" s="1">
        <v>26.9104780309626</v>
      </c>
      <c r="K678" t="str">
        <f t="shared" si="60"/>
        <v>没有热量缺口</v>
      </c>
      <c r="L678" s="2">
        <f t="shared" si="61"/>
        <v>1771</v>
      </c>
      <c r="M678" s="2">
        <f t="shared" si="62"/>
        <v>2125.2</v>
      </c>
      <c r="N678" s="2">
        <f t="shared" si="63"/>
        <v>-547.8</v>
      </c>
      <c r="O678" s="2">
        <f t="shared" si="64"/>
        <v>446.05</v>
      </c>
      <c r="P678" s="2">
        <f t="shared" si="65"/>
        <v>892.1</v>
      </c>
    </row>
    <row r="679" spans="1:16">
      <c r="A679" s="1">
        <v>678</v>
      </c>
      <c r="B679" s="1">
        <v>35</v>
      </c>
      <c r="C679" s="1" t="s">
        <v>18</v>
      </c>
      <c r="D679" s="1">
        <v>170.8</v>
      </c>
      <c r="E679" s="1">
        <v>103.4</v>
      </c>
      <c r="F679" s="1">
        <v>1204</v>
      </c>
      <c r="G679" s="1" t="s">
        <v>19</v>
      </c>
      <c r="H679" s="1">
        <v>1.2</v>
      </c>
      <c r="I679" s="1">
        <v>1.708</v>
      </c>
      <c r="J679" s="1">
        <v>35.4441696054933</v>
      </c>
      <c r="K679" t="str">
        <f t="shared" si="60"/>
        <v>缺口合适</v>
      </c>
      <c r="L679" s="2">
        <f t="shared" si="61"/>
        <v>1765.5</v>
      </c>
      <c r="M679" s="2">
        <f t="shared" si="62"/>
        <v>2118.6</v>
      </c>
      <c r="N679" s="2">
        <f t="shared" si="63"/>
        <v>914.6</v>
      </c>
      <c r="O679" s="2">
        <f t="shared" si="64"/>
        <v>568.7</v>
      </c>
      <c r="P679" s="2">
        <f t="shared" si="65"/>
        <v>1137.4</v>
      </c>
    </row>
    <row r="680" spans="1:16">
      <c r="A680" s="1">
        <v>679</v>
      </c>
      <c r="B680" s="1">
        <v>30</v>
      </c>
      <c r="C680" s="1" t="s">
        <v>16</v>
      </c>
      <c r="D680" s="1">
        <v>175.6</v>
      </c>
      <c r="E680" s="1">
        <v>78.5</v>
      </c>
      <c r="F680" s="1">
        <v>2666</v>
      </c>
      <c r="G680" s="1" t="s">
        <v>20</v>
      </c>
      <c r="H680" s="1">
        <v>1.55</v>
      </c>
      <c r="I680" s="1">
        <v>1.756</v>
      </c>
      <c r="J680" s="1">
        <v>25.4577861260578</v>
      </c>
      <c r="K680" t="str">
        <f t="shared" si="60"/>
        <v>缺口过小</v>
      </c>
      <c r="L680" s="2">
        <f t="shared" si="61"/>
        <v>1737.5</v>
      </c>
      <c r="M680" s="2">
        <f t="shared" si="62"/>
        <v>2693.125</v>
      </c>
      <c r="N680" s="2">
        <f t="shared" si="63"/>
        <v>27.125</v>
      </c>
      <c r="O680" s="2">
        <f t="shared" si="64"/>
        <v>431.75</v>
      </c>
      <c r="P680" s="2">
        <f t="shared" si="65"/>
        <v>863.5</v>
      </c>
    </row>
    <row r="681" spans="1:16">
      <c r="A681" s="1">
        <v>680</v>
      </c>
      <c r="B681" s="1">
        <v>27</v>
      </c>
      <c r="C681" s="1" t="s">
        <v>16</v>
      </c>
      <c r="D681" s="1">
        <v>176.5</v>
      </c>
      <c r="E681" s="1">
        <v>109.5</v>
      </c>
      <c r="F681" s="1">
        <v>2706</v>
      </c>
      <c r="G681" s="1" t="s">
        <v>20</v>
      </c>
      <c r="H681" s="1">
        <v>1.55</v>
      </c>
      <c r="I681" s="1">
        <v>1.765</v>
      </c>
      <c r="J681" s="1">
        <v>35.149949040599</v>
      </c>
      <c r="K681" t="str">
        <f t="shared" si="60"/>
        <v>缺口过小</v>
      </c>
      <c r="L681" s="2">
        <f t="shared" si="61"/>
        <v>2068.125</v>
      </c>
      <c r="M681" s="2">
        <f t="shared" si="62"/>
        <v>3205.59375</v>
      </c>
      <c r="N681" s="2">
        <f t="shared" si="63"/>
        <v>499.59375</v>
      </c>
      <c r="O681" s="2">
        <f t="shared" si="64"/>
        <v>602.25</v>
      </c>
      <c r="P681" s="2">
        <f t="shared" si="65"/>
        <v>1204.5</v>
      </c>
    </row>
    <row r="682" spans="1:16">
      <c r="A682" s="1">
        <v>681</v>
      </c>
      <c r="B682" s="1">
        <v>23</v>
      </c>
      <c r="C682" s="1" t="s">
        <v>18</v>
      </c>
      <c r="D682" s="1">
        <v>159</v>
      </c>
      <c r="E682" s="1">
        <v>68.5</v>
      </c>
      <c r="F682" s="1">
        <v>1763</v>
      </c>
      <c r="G682" s="1" t="s">
        <v>17</v>
      </c>
      <c r="H682" s="1">
        <v>1.375</v>
      </c>
      <c r="I682" s="1">
        <v>1.59</v>
      </c>
      <c r="J682" s="1">
        <v>27.0954471737668</v>
      </c>
      <c r="K682" t="str">
        <f t="shared" si="60"/>
        <v>缺口过小</v>
      </c>
      <c r="L682" s="2">
        <f t="shared" si="61"/>
        <v>1402.75</v>
      </c>
      <c r="M682" s="2">
        <f t="shared" si="62"/>
        <v>1928.78125</v>
      </c>
      <c r="N682" s="2">
        <f t="shared" si="63"/>
        <v>165.78125</v>
      </c>
      <c r="O682" s="2">
        <f t="shared" si="64"/>
        <v>376.75</v>
      </c>
      <c r="P682" s="2">
        <f t="shared" si="65"/>
        <v>753.5</v>
      </c>
    </row>
    <row r="683" spans="1:16">
      <c r="A683" s="1">
        <v>682</v>
      </c>
      <c r="B683" s="1">
        <v>23</v>
      </c>
      <c r="C683" s="1" t="s">
        <v>18</v>
      </c>
      <c r="D683" s="1">
        <v>177</v>
      </c>
      <c r="E683" s="1">
        <v>78.8</v>
      </c>
      <c r="F683" s="1">
        <v>2970</v>
      </c>
      <c r="G683" s="1" t="s">
        <v>21</v>
      </c>
      <c r="H683" s="1">
        <v>1.725</v>
      </c>
      <c r="I683" s="1">
        <v>1.77</v>
      </c>
      <c r="J683" s="1">
        <v>25.1524146956493</v>
      </c>
      <c r="K683" t="str">
        <f t="shared" si="60"/>
        <v>没有热量缺口</v>
      </c>
      <c r="L683" s="2">
        <f t="shared" si="61"/>
        <v>1618.25</v>
      </c>
      <c r="M683" s="2">
        <f t="shared" si="62"/>
        <v>2791.48125</v>
      </c>
      <c r="N683" s="2">
        <f t="shared" si="63"/>
        <v>-178.51875</v>
      </c>
      <c r="O683" s="2">
        <f t="shared" si="64"/>
        <v>433.4</v>
      </c>
      <c r="P683" s="2">
        <f t="shared" si="65"/>
        <v>866.8</v>
      </c>
    </row>
    <row r="684" spans="1:16">
      <c r="A684" s="1">
        <v>683</v>
      </c>
      <c r="B684" s="1">
        <v>31</v>
      </c>
      <c r="C684" s="1" t="s">
        <v>16</v>
      </c>
      <c r="D684" s="1">
        <v>171.3</v>
      </c>
      <c r="E684" s="1">
        <v>95.3</v>
      </c>
      <c r="F684" s="1">
        <v>2027</v>
      </c>
      <c r="G684" s="1" t="s">
        <v>19</v>
      </c>
      <c r="H684" s="1">
        <v>1.2</v>
      </c>
      <c r="I684" s="1">
        <v>1.713</v>
      </c>
      <c r="J684" s="1">
        <v>32.4771697083768</v>
      </c>
      <c r="K684" t="str">
        <f t="shared" si="60"/>
        <v>缺口过小</v>
      </c>
      <c r="L684" s="2">
        <f t="shared" si="61"/>
        <v>1873.625</v>
      </c>
      <c r="M684" s="2">
        <f t="shared" si="62"/>
        <v>2248.35</v>
      </c>
      <c r="N684" s="2">
        <f t="shared" si="63"/>
        <v>221.35</v>
      </c>
      <c r="O684" s="2">
        <f t="shared" si="64"/>
        <v>524.15</v>
      </c>
      <c r="P684" s="2">
        <f t="shared" si="65"/>
        <v>1048.3</v>
      </c>
    </row>
    <row r="685" spans="1:16">
      <c r="A685" s="1">
        <v>684</v>
      </c>
      <c r="B685" s="1">
        <v>27</v>
      </c>
      <c r="C685" s="1" t="s">
        <v>16</v>
      </c>
      <c r="D685" s="1">
        <v>173.2</v>
      </c>
      <c r="E685" s="1">
        <v>78.6</v>
      </c>
      <c r="F685" s="1">
        <v>4505</v>
      </c>
      <c r="G685" s="1" t="s">
        <v>21</v>
      </c>
      <c r="H685" s="1">
        <v>1.725</v>
      </c>
      <c r="I685" s="1">
        <v>1.732</v>
      </c>
      <c r="J685" s="1">
        <v>26.2015371568465</v>
      </c>
      <c r="K685" t="str">
        <f t="shared" si="60"/>
        <v>没有热量缺口</v>
      </c>
      <c r="L685" s="2">
        <f t="shared" si="61"/>
        <v>1738.5</v>
      </c>
      <c r="M685" s="2">
        <f t="shared" si="62"/>
        <v>2998.9125</v>
      </c>
      <c r="N685" s="2">
        <f t="shared" si="63"/>
        <v>-1506.0875</v>
      </c>
      <c r="O685" s="2">
        <f t="shared" si="64"/>
        <v>432.3</v>
      </c>
      <c r="P685" s="2">
        <f t="shared" si="65"/>
        <v>864.6</v>
      </c>
    </row>
    <row r="686" spans="1:16">
      <c r="A686" s="1">
        <v>685</v>
      </c>
      <c r="B686" s="1">
        <v>29</v>
      </c>
      <c r="C686" s="1" t="s">
        <v>18</v>
      </c>
      <c r="D686" s="1">
        <v>163.2</v>
      </c>
      <c r="E686" s="1">
        <v>75.5</v>
      </c>
      <c r="F686" s="1">
        <v>1493</v>
      </c>
      <c r="G686" s="1" t="s">
        <v>20</v>
      </c>
      <c r="H686" s="1">
        <v>1.55</v>
      </c>
      <c r="I686" s="1">
        <v>1.632</v>
      </c>
      <c r="J686" s="1">
        <v>28.3469699154171</v>
      </c>
      <c r="K686" t="str">
        <f t="shared" si="60"/>
        <v>缺口合适</v>
      </c>
      <c r="L686" s="2">
        <f t="shared" si="61"/>
        <v>1469</v>
      </c>
      <c r="M686" s="2">
        <f t="shared" si="62"/>
        <v>2276.95</v>
      </c>
      <c r="N686" s="2">
        <f t="shared" si="63"/>
        <v>783.95</v>
      </c>
      <c r="O686" s="2">
        <f t="shared" si="64"/>
        <v>415.25</v>
      </c>
      <c r="P686" s="2">
        <f t="shared" si="65"/>
        <v>830.5</v>
      </c>
    </row>
    <row r="687" spans="1:16">
      <c r="A687" s="1">
        <v>686</v>
      </c>
      <c r="B687" s="1">
        <v>35</v>
      </c>
      <c r="C687" s="1" t="s">
        <v>16</v>
      </c>
      <c r="D687" s="1">
        <v>175.4</v>
      </c>
      <c r="E687" s="1">
        <v>117.1</v>
      </c>
      <c r="F687" s="1">
        <v>2998</v>
      </c>
      <c r="G687" s="1" t="s">
        <v>19</v>
      </c>
      <c r="H687" s="1">
        <v>1.2</v>
      </c>
      <c r="I687" s="1">
        <v>1.754</v>
      </c>
      <c r="J687" s="1">
        <v>38.0625356734696</v>
      </c>
      <c r="K687" t="str">
        <f t="shared" si="60"/>
        <v>没有热量缺口</v>
      </c>
      <c r="L687" s="2">
        <f t="shared" si="61"/>
        <v>2097.25</v>
      </c>
      <c r="M687" s="2">
        <f t="shared" si="62"/>
        <v>2516.7</v>
      </c>
      <c r="N687" s="2">
        <f t="shared" si="63"/>
        <v>-481.3</v>
      </c>
      <c r="O687" s="2">
        <f t="shared" si="64"/>
        <v>644.05</v>
      </c>
      <c r="P687" s="2">
        <f t="shared" si="65"/>
        <v>1288.1</v>
      </c>
    </row>
    <row r="688" spans="1:16">
      <c r="A688" s="1">
        <v>687</v>
      </c>
      <c r="B688" s="1">
        <v>21</v>
      </c>
      <c r="C688" s="1" t="s">
        <v>18</v>
      </c>
      <c r="D688" s="1">
        <v>163.4</v>
      </c>
      <c r="E688" s="1">
        <v>86.4</v>
      </c>
      <c r="F688" s="1">
        <v>1868</v>
      </c>
      <c r="G688" s="1" t="s">
        <v>21</v>
      </c>
      <c r="H688" s="1">
        <v>1.725</v>
      </c>
      <c r="I688" s="1">
        <v>1.634</v>
      </c>
      <c r="J688" s="1">
        <v>32.3600838365875</v>
      </c>
      <c r="K688" t="str">
        <f t="shared" si="60"/>
        <v>缺口合适</v>
      </c>
      <c r="L688" s="2">
        <f t="shared" si="61"/>
        <v>1619.25</v>
      </c>
      <c r="M688" s="2">
        <f t="shared" si="62"/>
        <v>2793.20625</v>
      </c>
      <c r="N688" s="2">
        <f t="shared" si="63"/>
        <v>925.20625</v>
      </c>
      <c r="O688" s="2">
        <f t="shared" si="64"/>
        <v>475.2</v>
      </c>
      <c r="P688" s="2">
        <f t="shared" si="65"/>
        <v>950.4</v>
      </c>
    </row>
    <row r="689" spans="1:16">
      <c r="A689" s="1">
        <v>688</v>
      </c>
      <c r="B689" s="1">
        <v>35</v>
      </c>
      <c r="C689" s="1" t="s">
        <v>16</v>
      </c>
      <c r="D689" s="1">
        <v>170.2</v>
      </c>
      <c r="E689" s="1">
        <v>110</v>
      </c>
      <c r="F689" s="1">
        <v>1838</v>
      </c>
      <c r="G689" s="1" t="s">
        <v>17</v>
      </c>
      <c r="H689" s="1">
        <v>1.375</v>
      </c>
      <c r="I689" s="1">
        <v>1.702</v>
      </c>
      <c r="J689" s="1">
        <v>37.9728832188853</v>
      </c>
      <c r="K689" t="str">
        <f t="shared" si="60"/>
        <v>缺口合适</v>
      </c>
      <c r="L689" s="2">
        <f t="shared" si="61"/>
        <v>1993.75</v>
      </c>
      <c r="M689" s="2">
        <f t="shared" si="62"/>
        <v>2741.40625</v>
      </c>
      <c r="N689" s="2">
        <f t="shared" si="63"/>
        <v>903.40625</v>
      </c>
      <c r="O689" s="2">
        <f t="shared" si="64"/>
        <v>605</v>
      </c>
      <c r="P689" s="2">
        <f t="shared" si="65"/>
        <v>1210</v>
      </c>
    </row>
    <row r="690" spans="1:16">
      <c r="A690" s="1">
        <v>689</v>
      </c>
      <c r="B690" s="1">
        <v>24</v>
      </c>
      <c r="C690" s="1" t="s">
        <v>16</v>
      </c>
      <c r="D690" s="1">
        <v>184.4</v>
      </c>
      <c r="E690" s="1">
        <v>91.1</v>
      </c>
      <c r="F690" s="1">
        <v>3891</v>
      </c>
      <c r="G690" s="1" t="s">
        <v>21</v>
      </c>
      <c r="H690" s="1">
        <v>1.725</v>
      </c>
      <c r="I690" s="1">
        <v>1.844</v>
      </c>
      <c r="J690" s="1">
        <v>26.7914700194333</v>
      </c>
      <c r="K690" t="str">
        <f t="shared" si="60"/>
        <v>没有热量缺口</v>
      </c>
      <c r="L690" s="2">
        <f t="shared" si="61"/>
        <v>1948.5</v>
      </c>
      <c r="M690" s="2">
        <f t="shared" si="62"/>
        <v>3361.1625</v>
      </c>
      <c r="N690" s="2">
        <f t="shared" si="63"/>
        <v>-529.8375</v>
      </c>
      <c r="O690" s="2">
        <f t="shared" si="64"/>
        <v>501.05</v>
      </c>
      <c r="P690" s="2">
        <f t="shared" si="65"/>
        <v>1002.1</v>
      </c>
    </row>
    <row r="691" spans="1:16">
      <c r="A691" s="1">
        <v>690</v>
      </c>
      <c r="B691" s="1">
        <v>34</v>
      </c>
      <c r="C691" s="1" t="s">
        <v>18</v>
      </c>
      <c r="D691" s="1">
        <v>170.1</v>
      </c>
      <c r="E691" s="1">
        <v>74.3</v>
      </c>
      <c r="F691" s="1">
        <v>2465</v>
      </c>
      <c r="G691" s="1" t="s">
        <v>19</v>
      </c>
      <c r="H691" s="1">
        <v>1.2</v>
      </c>
      <c r="I691" s="1">
        <v>1.70099999999999</v>
      </c>
      <c r="J691" s="1">
        <v>25.6791229421708</v>
      </c>
      <c r="K691" t="str">
        <f t="shared" si="60"/>
        <v>没有热量缺口</v>
      </c>
      <c r="L691" s="2">
        <f t="shared" si="61"/>
        <v>1475.125</v>
      </c>
      <c r="M691" s="2">
        <f t="shared" si="62"/>
        <v>1770.15</v>
      </c>
      <c r="N691" s="2">
        <f t="shared" si="63"/>
        <v>-694.85</v>
      </c>
      <c r="O691" s="2">
        <f t="shared" si="64"/>
        <v>408.65</v>
      </c>
      <c r="P691" s="2">
        <f t="shared" si="65"/>
        <v>817.3</v>
      </c>
    </row>
    <row r="692" spans="1:16">
      <c r="A692" s="1">
        <v>691</v>
      </c>
      <c r="B692" s="1">
        <v>21</v>
      </c>
      <c r="C692" s="1" t="s">
        <v>18</v>
      </c>
      <c r="D692" s="1">
        <v>156.7</v>
      </c>
      <c r="E692" s="1">
        <v>108.3</v>
      </c>
      <c r="F692" s="1">
        <v>1996</v>
      </c>
      <c r="G692" s="1" t="s">
        <v>21</v>
      </c>
      <c r="H692" s="1">
        <v>1.725</v>
      </c>
      <c r="I692" s="1">
        <v>1.567</v>
      </c>
      <c r="J692" s="1">
        <v>44.1052678305624</v>
      </c>
      <c r="K692" t="str">
        <f t="shared" si="60"/>
        <v>缺口合适</v>
      </c>
      <c r="L692" s="2">
        <f t="shared" si="61"/>
        <v>1796.375</v>
      </c>
      <c r="M692" s="2">
        <f t="shared" si="62"/>
        <v>3098.746875</v>
      </c>
      <c r="N692" s="2">
        <f t="shared" si="63"/>
        <v>1102.746875</v>
      </c>
      <c r="O692" s="2">
        <f t="shared" si="64"/>
        <v>595.65</v>
      </c>
      <c r="P692" s="2">
        <f t="shared" si="65"/>
        <v>1191.3</v>
      </c>
    </row>
    <row r="693" spans="1:16">
      <c r="A693" s="1">
        <v>692</v>
      </c>
      <c r="B693" s="1">
        <v>22</v>
      </c>
      <c r="C693" s="1" t="s">
        <v>16</v>
      </c>
      <c r="D693" s="1">
        <v>159.9</v>
      </c>
      <c r="E693" s="1">
        <v>86.1</v>
      </c>
      <c r="F693" s="1">
        <v>2060</v>
      </c>
      <c r="G693" s="1" t="s">
        <v>20</v>
      </c>
      <c r="H693" s="1">
        <v>1.55</v>
      </c>
      <c r="I693" s="1">
        <v>1.599</v>
      </c>
      <c r="J693" s="1">
        <v>33.6748929619473</v>
      </c>
      <c r="K693" t="str">
        <f t="shared" si="60"/>
        <v>缺口合适</v>
      </c>
      <c r="L693" s="2">
        <f t="shared" si="61"/>
        <v>1755.375</v>
      </c>
      <c r="M693" s="2">
        <f t="shared" si="62"/>
        <v>2720.83125</v>
      </c>
      <c r="N693" s="2">
        <f t="shared" si="63"/>
        <v>660.83125</v>
      </c>
      <c r="O693" s="2">
        <f t="shared" si="64"/>
        <v>473.55</v>
      </c>
      <c r="P693" s="2">
        <f t="shared" si="65"/>
        <v>947.1</v>
      </c>
    </row>
    <row r="694" spans="1:16">
      <c r="A694" s="1">
        <v>693</v>
      </c>
      <c r="B694" s="1">
        <v>29</v>
      </c>
      <c r="C694" s="1" t="s">
        <v>18</v>
      </c>
      <c r="D694" s="1">
        <v>156.1</v>
      </c>
      <c r="E694" s="1">
        <v>66.8</v>
      </c>
      <c r="F694" s="1">
        <v>1914</v>
      </c>
      <c r="G694" s="1" t="s">
        <v>20</v>
      </c>
      <c r="H694" s="1">
        <v>1.55</v>
      </c>
      <c r="I694" s="1">
        <v>1.561</v>
      </c>
      <c r="J694" s="1">
        <v>27.4138894030133</v>
      </c>
      <c r="K694" t="str">
        <f t="shared" si="60"/>
        <v>缺口过小</v>
      </c>
      <c r="L694" s="2">
        <f t="shared" si="61"/>
        <v>1337.625</v>
      </c>
      <c r="M694" s="2">
        <f t="shared" si="62"/>
        <v>2073.31875</v>
      </c>
      <c r="N694" s="2">
        <f t="shared" si="63"/>
        <v>159.31875</v>
      </c>
      <c r="O694" s="2">
        <f t="shared" si="64"/>
        <v>367.4</v>
      </c>
      <c r="P694" s="2">
        <f t="shared" si="65"/>
        <v>734.8</v>
      </c>
    </row>
    <row r="695" spans="1:16">
      <c r="A695" s="1">
        <v>694</v>
      </c>
      <c r="B695" s="1">
        <v>21</v>
      </c>
      <c r="C695" s="1" t="s">
        <v>18</v>
      </c>
      <c r="D695" s="1">
        <v>169.3</v>
      </c>
      <c r="E695" s="1">
        <v>52.9</v>
      </c>
      <c r="F695" s="1">
        <v>2593</v>
      </c>
      <c r="G695" s="1" t="s">
        <v>17</v>
      </c>
      <c r="H695" s="1">
        <v>1.375</v>
      </c>
      <c r="I695" s="1">
        <v>1.693</v>
      </c>
      <c r="J695" s="1">
        <v>18.456177394218</v>
      </c>
      <c r="K695" t="str">
        <f t="shared" si="60"/>
        <v>没有热量缺口</v>
      </c>
      <c r="L695" s="2">
        <f t="shared" si="61"/>
        <v>1321.125</v>
      </c>
      <c r="M695" s="2">
        <f t="shared" si="62"/>
        <v>1816.546875</v>
      </c>
      <c r="N695" s="2">
        <f t="shared" si="63"/>
        <v>-776.453125</v>
      </c>
      <c r="O695" s="2">
        <f t="shared" si="64"/>
        <v>290.95</v>
      </c>
      <c r="P695" s="2">
        <f t="shared" si="65"/>
        <v>581.9</v>
      </c>
    </row>
    <row r="696" spans="1:16">
      <c r="A696" s="1">
        <v>695</v>
      </c>
      <c r="B696" s="1">
        <v>34</v>
      </c>
      <c r="C696" s="1" t="s">
        <v>16</v>
      </c>
      <c r="D696" s="1">
        <v>174.3</v>
      </c>
      <c r="E696" s="1">
        <v>94</v>
      </c>
      <c r="F696" s="1">
        <v>1019</v>
      </c>
      <c r="G696" s="1" t="s">
        <v>17</v>
      </c>
      <c r="H696" s="1">
        <v>1.375</v>
      </c>
      <c r="I696" s="1">
        <v>1.743</v>
      </c>
      <c r="J696" s="1">
        <v>30.9409097746613</v>
      </c>
      <c r="K696" t="str">
        <f t="shared" si="60"/>
        <v>缺口过大</v>
      </c>
      <c r="L696" s="2">
        <f t="shared" si="61"/>
        <v>1864.375</v>
      </c>
      <c r="M696" s="2">
        <f t="shared" si="62"/>
        <v>2563.515625</v>
      </c>
      <c r="N696" s="2">
        <f t="shared" si="63"/>
        <v>1544.515625</v>
      </c>
      <c r="O696" s="2">
        <f t="shared" si="64"/>
        <v>517</v>
      </c>
      <c r="P696" s="2">
        <f t="shared" si="65"/>
        <v>1034</v>
      </c>
    </row>
    <row r="697" spans="1:16">
      <c r="A697" s="1">
        <v>696</v>
      </c>
      <c r="B697" s="1">
        <v>24</v>
      </c>
      <c r="C697" s="1" t="s">
        <v>18</v>
      </c>
      <c r="D697" s="1">
        <v>154.5</v>
      </c>
      <c r="E697" s="1">
        <v>83.3</v>
      </c>
      <c r="F697" s="1">
        <v>2075</v>
      </c>
      <c r="G697" s="1" t="s">
        <v>17</v>
      </c>
      <c r="H697" s="1">
        <v>1.375</v>
      </c>
      <c r="I697" s="1">
        <v>1.545</v>
      </c>
      <c r="J697" s="1">
        <v>34.8969952137074</v>
      </c>
      <c r="K697" t="str">
        <f t="shared" si="60"/>
        <v>缺口过小</v>
      </c>
      <c r="L697" s="2">
        <f t="shared" si="61"/>
        <v>1517.625</v>
      </c>
      <c r="M697" s="2">
        <f t="shared" si="62"/>
        <v>2086.734375</v>
      </c>
      <c r="N697" s="2">
        <f t="shared" si="63"/>
        <v>11.734375</v>
      </c>
      <c r="O697" s="2">
        <f t="shared" si="64"/>
        <v>458.15</v>
      </c>
      <c r="P697" s="2">
        <f t="shared" si="65"/>
        <v>916.3</v>
      </c>
    </row>
    <row r="698" spans="1:16">
      <c r="A698" s="1">
        <v>697</v>
      </c>
      <c r="B698" s="1">
        <v>34</v>
      </c>
      <c r="C698" s="1" t="s">
        <v>18</v>
      </c>
      <c r="D698" s="1">
        <v>157.4</v>
      </c>
      <c r="E698" s="1">
        <v>74.1</v>
      </c>
      <c r="F698" s="1">
        <v>1770</v>
      </c>
      <c r="G698" s="1" t="s">
        <v>21</v>
      </c>
      <c r="H698" s="1">
        <v>1.725</v>
      </c>
      <c r="I698" s="1">
        <v>1.574</v>
      </c>
      <c r="J698" s="1">
        <v>29.9094723823762</v>
      </c>
      <c r="K698" t="str">
        <f t="shared" si="60"/>
        <v>缺口合适</v>
      </c>
      <c r="L698" s="2">
        <f t="shared" si="61"/>
        <v>1393.75</v>
      </c>
      <c r="M698" s="2">
        <f t="shared" si="62"/>
        <v>2404.21875</v>
      </c>
      <c r="N698" s="2">
        <f t="shared" si="63"/>
        <v>634.21875</v>
      </c>
      <c r="O698" s="2">
        <f t="shared" si="64"/>
        <v>407.55</v>
      </c>
      <c r="P698" s="2">
        <f t="shared" si="65"/>
        <v>815.1</v>
      </c>
    </row>
    <row r="699" spans="1:16">
      <c r="A699" s="1">
        <v>698</v>
      </c>
      <c r="B699" s="1">
        <v>34</v>
      </c>
      <c r="C699" s="1" t="s">
        <v>16</v>
      </c>
      <c r="D699" s="1">
        <v>166.3</v>
      </c>
      <c r="E699" s="1">
        <v>75.1</v>
      </c>
      <c r="F699" s="1">
        <v>3094</v>
      </c>
      <c r="G699" s="1" t="s">
        <v>21</v>
      </c>
      <c r="H699" s="1">
        <v>1.725</v>
      </c>
      <c r="I699" s="1">
        <v>1.663</v>
      </c>
      <c r="J699" s="1">
        <v>27.1553521174123</v>
      </c>
      <c r="K699" t="str">
        <f t="shared" si="60"/>
        <v>没有热量缺口</v>
      </c>
      <c r="L699" s="2">
        <f t="shared" si="61"/>
        <v>1625.375</v>
      </c>
      <c r="M699" s="2">
        <f t="shared" si="62"/>
        <v>2803.771875</v>
      </c>
      <c r="N699" s="2">
        <f t="shared" si="63"/>
        <v>-290.228125</v>
      </c>
      <c r="O699" s="2">
        <f t="shared" si="64"/>
        <v>413.05</v>
      </c>
      <c r="P699" s="2">
        <f t="shared" si="65"/>
        <v>826.1</v>
      </c>
    </row>
    <row r="700" spans="1:16">
      <c r="A700" s="1">
        <v>699</v>
      </c>
      <c r="B700" s="1">
        <v>33</v>
      </c>
      <c r="C700" s="1" t="s">
        <v>18</v>
      </c>
      <c r="D700" s="1">
        <v>158.8</v>
      </c>
      <c r="E700" s="1">
        <v>109.7</v>
      </c>
      <c r="F700" s="1">
        <v>866</v>
      </c>
      <c r="G700" s="1" t="s">
        <v>17</v>
      </c>
      <c r="H700" s="1">
        <v>1.375</v>
      </c>
      <c r="I700" s="1">
        <v>1.588</v>
      </c>
      <c r="J700" s="1">
        <v>43.5016401347638</v>
      </c>
      <c r="K700" t="str">
        <f t="shared" si="60"/>
        <v>缺口过大</v>
      </c>
      <c r="L700" s="2">
        <f t="shared" si="61"/>
        <v>1763.5</v>
      </c>
      <c r="M700" s="2">
        <f t="shared" si="62"/>
        <v>2424.8125</v>
      </c>
      <c r="N700" s="2">
        <f t="shared" si="63"/>
        <v>1558.8125</v>
      </c>
      <c r="O700" s="2">
        <f t="shared" si="64"/>
        <v>603.35</v>
      </c>
      <c r="P700" s="2">
        <f t="shared" si="65"/>
        <v>1206.7</v>
      </c>
    </row>
    <row r="701" spans="1:16">
      <c r="A701" s="1">
        <v>700</v>
      </c>
      <c r="B701" s="1">
        <v>20</v>
      </c>
      <c r="C701" s="1" t="s">
        <v>18</v>
      </c>
      <c r="D701" s="1">
        <v>166.6</v>
      </c>
      <c r="E701" s="1">
        <v>66.2</v>
      </c>
      <c r="F701" s="1">
        <v>689</v>
      </c>
      <c r="G701" s="1" t="s">
        <v>17</v>
      </c>
      <c r="H701" s="1">
        <v>1.375</v>
      </c>
      <c r="I701" s="1">
        <v>1.666</v>
      </c>
      <c r="J701" s="1">
        <v>23.851077045464</v>
      </c>
      <c r="K701" t="str">
        <f t="shared" si="60"/>
        <v>缺口过大</v>
      </c>
      <c r="L701" s="2">
        <f t="shared" si="61"/>
        <v>1442.25</v>
      </c>
      <c r="M701" s="2">
        <f t="shared" si="62"/>
        <v>1983.09375</v>
      </c>
      <c r="N701" s="2">
        <f t="shared" si="63"/>
        <v>1294.09375</v>
      </c>
      <c r="O701" s="2">
        <f t="shared" si="64"/>
        <v>364.1</v>
      </c>
      <c r="P701" s="2">
        <f t="shared" si="65"/>
        <v>728.2</v>
      </c>
    </row>
    <row r="702" spans="1:16">
      <c r="A702" s="1">
        <v>701</v>
      </c>
      <c r="B702" s="1">
        <v>30</v>
      </c>
      <c r="C702" s="1" t="s">
        <v>16</v>
      </c>
      <c r="D702" s="1">
        <v>181.5</v>
      </c>
      <c r="E702" s="1">
        <v>82.8</v>
      </c>
      <c r="F702" s="1">
        <v>2120</v>
      </c>
      <c r="G702" s="1" t="s">
        <v>20</v>
      </c>
      <c r="H702" s="1">
        <v>1.55</v>
      </c>
      <c r="I702" s="1">
        <v>1.815</v>
      </c>
      <c r="J702" s="1">
        <v>25.1348951574346</v>
      </c>
      <c r="K702" t="str">
        <f t="shared" si="60"/>
        <v>缺口合适</v>
      </c>
      <c r="L702" s="2">
        <f t="shared" si="61"/>
        <v>1817.375</v>
      </c>
      <c r="M702" s="2">
        <f t="shared" si="62"/>
        <v>2816.93125</v>
      </c>
      <c r="N702" s="2">
        <f t="shared" si="63"/>
        <v>696.93125</v>
      </c>
      <c r="O702" s="2">
        <f t="shared" si="64"/>
        <v>455.4</v>
      </c>
      <c r="P702" s="2">
        <f t="shared" si="65"/>
        <v>910.8</v>
      </c>
    </row>
    <row r="703" spans="1:16">
      <c r="A703" s="1">
        <v>702</v>
      </c>
      <c r="B703" s="1">
        <v>27</v>
      </c>
      <c r="C703" s="1" t="s">
        <v>18</v>
      </c>
      <c r="D703" s="1">
        <v>166</v>
      </c>
      <c r="E703" s="1">
        <v>64.4</v>
      </c>
      <c r="F703" s="1">
        <v>2588</v>
      </c>
      <c r="G703" s="1" t="s">
        <v>17</v>
      </c>
      <c r="H703" s="1">
        <v>1.375</v>
      </c>
      <c r="I703" s="1">
        <v>1.66</v>
      </c>
      <c r="J703" s="1">
        <v>23.3705907969226</v>
      </c>
      <c r="K703" t="str">
        <f t="shared" si="60"/>
        <v>没有热量缺口</v>
      </c>
      <c r="L703" s="2">
        <f t="shared" si="61"/>
        <v>1385.5</v>
      </c>
      <c r="M703" s="2">
        <f t="shared" si="62"/>
        <v>1905.0625</v>
      </c>
      <c r="N703" s="2">
        <f t="shared" si="63"/>
        <v>-682.9375</v>
      </c>
      <c r="O703" s="2">
        <f t="shared" si="64"/>
        <v>354.2</v>
      </c>
      <c r="P703" s="2">
        <f t="shared" si="65"/>
        <v>708.4</v>
      </c>
    </row>
    <row r="704" spans="1:16">
      <c r="A704" s="1">
        <v>703</v>
      </c>
      <c r="B704" s="1">
        <v>24</v>
      </c>
      <c r="C704" s="1" t="s">
        <v>18</v>
      </c>
      <c r="D704" s="1">
        <v>167</v>
      </c>
      <c r="E704" s="1">
        <v>57.9</v>
      </c>
      <c r="F704" s="1">
        <v>1442</v>
      </c>
      <c r="G704" s="1" t="s">
        <v>21</v>
      </c>
      <c r="H704" s="1">
        <v>1.725</v>
      </c>
      <c r="I704" s="1">
        <v>1.67</v>
      </c>
      <c r="J704" s="1">
        <v>20.7608734626555</v>
      </c>
      <c r="K704" t="str">
        <f t="shared" si="60"/>
        <v>缺口过大</v>
      </c>
      <c r="L704" s="2">
        <f t="shared" si="61"/>
        <v>1341.75</v>
      </c>
      <c r="M704" s="2">
        <f t="shared" si="62"/>
        <v>2314.51875</v>
      </c>
      <c r="N704" s="2">
        <f t="shared" si="63"/>
        <v>872.51875</v>
      </c>
      <c r="O704" s="2">
        <f t="shared" si="64"/>
        <v>318.45</v>
      </c>
      <c r="P704" s="2">
        <f t="shared" si="65"/>
        <v>636.9</v>
      </c>
    </row>
    <row r="705" spans="1:16">
      <c r="A705" s="1">
        <v>704</v>
      </c>
      <c r="B705" s="1">
        <v>33</v>
      </c>
      <c r="C705" s="1" t="s">
        <v>16</v>
      </c>
      <c r="D705" s="1">
        <v>170</v>
      </c>
      <c r="E705" s="1">
        <v>84.2</v>
      </c>
      <c r="F705" s="1">
        <v>3788</v>
      </c>
      <c r="G705" s="1" t="s">
        <v>17</v>
      </c>
      <c r="H705" s="1">
        <v>1.375</v>
      </c>
      <c r="I705" s="1">
        <v>1.7</v>
      </c>
      <c r="J705" s="1">
        <v>29.1349480968858</v>
      </c>
      <c r="K705" t="str">
        <f t="shared" si="60"/>
        <v>没有热量缺口</v>
      </c>
      <c r="L705" s="2">
        <f t="shared" si="61"/>
        <v>1744.5</v>
      </c>
      <c r="M705" s="2">
        <f t="shared" si="62"/>
        <v>2398.6875</v>
      </c>
      <c r="N705" s="2">
        <f t="shared" si="63"/>
        <v>-1389.3125</v>
      </c>
      <c r="O705" s="2">
        <f t="shared" si="64"/>
        <v>463.1</v>
      </c>
      <c r="P705" s="2">
        <f t="shared" si="65"/>
        <v>926.2</v>
      </c>
    </row>
    <row r="706" spans="1:16">
      <c r="A706" s="1">
        <v>705</v>
      </c>
      <c r="B706" s="1">
        <v>31</v>
      </c>
      <c r="C706" s="1" t="s">
        <v>18</v>
      </c>
      <c r="D706" s="1">
        <v>163.8</v>
      </c>
      <c r="E706" s="1">
        <v>92.8</v>
      </c>
      <c r="F706" s="1">
        <v>2960</v>
      </c>
      <c r="G706" s="1" t="s">
        <v>20</v>
      </c>
      <c r="H706" s="1">
        <v>1.55</v>
      </c>
      <c r="I706" s="1">
        <v>1.638</v>
      </c>
      <c r="J706" s="1">
        <v>34.5875803751261</v>
      </c>
      <c r="K706" t="str">
        <f t="shared" ref="K706:K769" si="66">IF(N706&lt;=0,"没有热量缺口",IF(N706&lt;O706,"缺口过小",IF(N706&lt;=P706,"缺口合适","缺口过大")))</f>
        <v>没有热量缺口</v>
      </c>
      <c r="L706" s="2">
        <f t="shared" ref="L706:L769" si="67">IF(C706="male",10*E706+6.25*D706-5*B706+5,10*E706+6.25*D706-5*B706-161)</f>
        <v>1635.75</v>
      </c>
      <c r="M706" s="2">
        <f t="shared" ref="M706:M769" si="68">L706*H706</f>
        <v>2535.4125</v>
      </c>
      <c r="N706" s="2">
        <f t="shared" ref="N706:N769" si="69">M706-F706</f>
        <v>-424.5875</v>
      </c>
      <c r="O706" s="2">
        <f t="shared" ref="O706:O769" si="70">E706*0.005*7700/7</f>
        <v>510.4</v>
      </c>
      <c r="P706" s="2">
        <f t="shared" ref="P706:P769" si="71">E706*0.01*7700/7</f>
        <v>1020.8</v>
      </c>
    </row>
    <row r="707" spans="1:16">
      <c r="A707" s="1">
        <v>706</v>
      </c>
      <c r="B707" s="1">
        <v>26</v>
      </c>
      <c r="C707" s="1" t="s">
        <v>16</v>
      </c>
      <c r="D707" s="1">
        <v>183.2</v>
      </c>
      <c r="E707" s="1">
        <v>98.5</v>
      </c>
      <c r="F707" s="1">
        <v>1351</v>
      </c>
      <c r="G707" s="1" t="s">
        <v>21</v>
      </c>
      <c r="H707" s="1">
        <v>1.725</v>
      </c>
      <c r="I707" s="1">
        <v>1.83199999999999</v>
      </c>
      <c r="J707" s="1">
        <v>29.3484582673862</v>
      </c>
      <c r="K707" t="str">
        <f t="shared" si="66"/>
        <v>缺口过大</v>
      </c>
      <c r="L707" s="2">
        <f t="shared" si="67"/>
        <v>2005</v>
      </c>
      <c r="M707" s="2">
        <f t="shared" si="68"/>
        <v>3458.625</v>
      </c>
      <c r="N707" s="2">
        <f t="shared" si="69"/>
        <v>2107.625</v>
      </c>
      <c r="O707" s="2">
        <f t="shared" si="70"/>
        <v>541.75</v>
      </c>
      <c r="P707" s="2">
        <f t="shared" si="71"/>
        <v>1083.5</v>
      </c>
    </row>
    <row r="708" spans="1:16">
      <c r="A708" s="1">
        <v>707</v>
      </c>
      <c r="B708" s="1">
        <v>27</v>
      </c>
      <c r="C708" s="1" t="s">
        <v>18</v>
      </c>
      <c r="D708" s="1">
        <v>180.2</v>
      </c>
      <c r="E708" s="1">
        <v>162.5</v>
      </c>
      <c r="F708" s="1">
        <v>1436</v>
      </c>
      <c r="G708" s="1" t="s">
        <v>17</v>
      </c>
      <c r="H708" s="1">
        <v>1.375</v>
      </c>
      <c r="I708" s="1">
        <v>1.80199999999999</v>
      </c>
      <c r="J708" s="1">
        <v>50.043052422946</v>
      </c>
      <c r="K708" t="str">
        <f t="shared" si="66"/>
        <v>缺口过大</v>
      </c>
      <c r="L708" s="2">
        <f t="shared" si="67"/>
        <v>2455.25</v>
      </c>
      <c r="M708" s="2">
        <f t="shared" si="68"/>
        <v>3375.96875</v>
      </c>
      <c r="N708" s="2">
        <f t="shared" si="69"/>
        <v>1939.96875</v>
      </c>
      <c r="O708" s="2">
        <f t="shared" si="70"/>
        <v>893.75</v>
      </c>
      <c r="P708" s="2">
        <f t="shared" si="71"/>
        <v>1787.5</v>
      </c>
    </row>
    <row r="709" spans="1:16">
      <c r="A709" s="1">
        <v>708</v>
      </c>
      <c r="B709" s="1">
        <v>32</v>
      </c>
      <c r="C709" s="1" t="s">
        <v>18</v>
      </c>
      <c r="D709" s="1">
        <v>149.5</v>
      </c>
      <c r="E709" s="1">
        <v>62.6</v>
      </c>
      <c r="F709" s="1">
        <v>1070</v>
      </c>
      <c r="G709" s="1" t="s">
        <v>19</v>
      </c>
      <c r="H709" s="1">
        <v>1.2</v>
      </c>
      <c r="I709" s="1">
        <v>1.495</v>
      </c>
      <c r="J709" s="1">
        <v>28.0086352501649</v>
      </c>
      <c r="K709" t="str">
        <f t="shared" si="66"/>
        <v>缺口合适</v>
      </c>
      <c r="L709" s="2">
        <f t="shared" si="67"/>
        <v>1239.375</v>
      </c>
      <c r="M709" s="2">
        <f t="shared" si="68"/>
        <v>1487.25</v>
      </c>
      <c r="N709" s="2">
        <f t="shared" si="69"/>
        <v>417.25</v>
      </c>
      <c r="O709" s="2">
        <f t="shared" si="70"/>
        <v>344.3</v>
      </c>
      <c r="P709" s="2">
        <f t="shared" si="71"/>
        <v>688.6</v>
      </c>
    </row>
    <row r="710" spans="1:16">
      <c r="A710" s="1">
        <v>709</v>
      </c>
      <c r="B710" s="1">
        <v>32</v>
      </c>
      <c r="C710" s="1" t="s">
        <v>18</v>
      </c>
      <c r="D710" s="1">
        <v>168.8</v>
      </c>
      <c r="E710" s="1">
        <v>80.6</v>
      </c>
      <c r="F710" s="1">
        <v>1061</v>
      </c>
      <c r="G710" s="1" t="s">
        <v>21</v>
      </c>
      <c r="H710" s="1">
        <v>1.725</v>
      </c>
      <c r="I710" s="1">
        <v>1.688</v>
      </c>
      <c r="J710" s="1">
        <v>28.2872127759933</v>
      </c>
      <c r="K710" t="str">
        <f t="shared" si="66"/>
        <v>缺口过大</v>
      </c>
      <c r="L710" s="2">
        <f t="shared" si="67"/>
        <v>1540</v>
      </c>
      <c r="M710" s="2">
        <f t="shared" si="68"/>
        <v>2656.5</v>
      </c>
      <c r="N710" s="2">
        <f t="shared" si="69"/>
        <v>1595.5</v>
      </c>
      <c r="O710" s="2">
        <f t="shared" si="70"/>
        <v>443.3</v>
      </c>
      <c r="P710" s="2">
        <f t="shared" si="71"/>
        <v>886.6</v>
      </c>
    </row>
    <row r="711" spans="1:16">
      <c r="A711" s="1">
        <v>710</v>
      </c>
      <c r="B711" s="1">
        <v>31</v>
      </c>
      <c r="C711" s="1" t="s">
        <v>16</v>
      </c>
      <c r="D711" s="1">
        <v>185.4</v>
      </c>
      <c r="E711" s="1">
        <v>96</v>
      </c>
      <c r="F711" s="1">
        <v>3570</v>
      </c>
      <c r="G711" s="1" t="s">
        <v>21</v>
      </c>
      <c r="H711" s="1">
        <v>1.725</v>
      </c>
      <c r="I711" s="1">
        <v>1.854</v>
      </c>
      <c r="J711" s="1">
        <v>27.9287676780371</v>
      </c>
      <c r="K711" t="str">
        <f t="shared" si="66"/>
        <v>没有热量缺口</v>
      </c>
      <c r="L711" s="2">
        <f t="shared" si="67"/>
        <v>1968.75</v>
      </c>
      <c r="M711" s="2">
        <f t="shared" si="68"/>
        <v>3396.09375</v>
      </c>
      <c r="N711" s="2">
        <f t="shared" si="69"/>
        <v>-173.90625</v>
      </c>
      <c r="O711" s="2">
        <f t="shared" si="70"/>
        <v>528</v>
      </c>
      <c r="P711" s="2">
        <f t="shared" si="71"/>
        <v>1056</v>
      </c>
    </row>
    <row r="712" spans="1:16">
      <c r="A712" s="1">
        <v>711</v>
      </c>
      <c r="B712" s="1">
        <v>26</v>
      </c>
      <c r="C712" s="1" t="s">
        <v>16</v>
      </c>
      <c r="D712" s="1">
        <v>186</v>
      </c>
      <c r="E712" s="1">
        <v>99.3</v>
      </c>
      <c r="F712" s="1">
        <v>1473</v>
      </c>
      <c r="G712" s="1" t="s">
        <v>21</v>
      </c>
      <c r="H712" s="1">
        <v>1.725</v>
      </c>
      <c r="I712" s="1">
        <v>1.86</v>
      </c>
      <c r="J712" s="1">
        <v>28.7027402011793</v>
      </c>
      <c r="K712" t="str">
        <f t="shared" si="66"/>
        <v>缺口过大</v>
      </c>
      <c r="L712" s="2">
        <f t="shared" si="67"/>
        <v>2030.5</v>
      </c>
      <c r="M712" s="2">
        <f t="shared" si="68"/>
        <v>3502.6125</v>
      </c>
      <c r="N712" s="2">
        <f t="shared" si="69"/>
        <v>2029.6125</v>
      </c>
      <c r="O712" s="2">
        <f t="shared" si="70"/>
        <v>546.15</v>
      </c>
      <c r="P712" s="2">
        <f t="shared" si="71"/>
        <v>1092.3</v>
      </c>
    </row>
    <row r="713" spans="1:16">
      <c r="A713" s="1">
        <v>712</v>
      </c>
      <c r="B713" s="1">
        <v>25</v>
      </c>
      <c r="C713" s="1" t="s">
        <v>18</v>
      </c>
      <c r="D713" s="1">
        <v>178.3</v>
      </c>
      <c r="E713" s="1">
        <v>90.6</v>
      </c>
      <c r="F713" s="1">
        <v>2288</v>
      </c>
      <c r="G713" s="1" t="s">
        <v>20</v>
      </c>
      <c r="H713" s="1">
        <v>1.55</v>
      </c>
      <c r="I713" s="1">
        <v>1.783</v>
      </c>
      <c r="J713" s="1">
        <v>28.4987302966352</v>
      </c>
      <c r="K713" t="str">
        <f t="shared" si="66"/>
        <v>缺口过小</v>
      </c>
      <c r="L713" s="2">
        <f t="shared" si="67"/>
        <v>1734.375</v>
      </c>
      <c r="M713" s="2">
        <f t="shared" si="68"/>
        <v>2688.28125</v>
      </c>
      <c r="N713" s="2">
        <f t="shared" si="69"/>
        <v>400.28125</v>
      </c>
      <c r="O713" s="2">
        <f t="shared" si="70"/>
        <v>498.3</v>
      </c>
      <c r="P713" s="2">
        <f t="shared" si="71"/>
        <v>996.6</v>
      </c>
    </row>
    <row r="714" spans="1:16">
      <c r="A714" s="1">
        <v>713</v>
      </c>
      <c r="B714" s="1">
        <v>28</v>
      </c>
      <c r="C714" s="1" t="s">
        <v>16</v>
      </c>
      <c r="D714" s="1">
        <v>175.6</v>
      </c>
      <c r="E714" s="1">
        <v>75.5</v>
      </c>
      <c r="F714" s="1">
        <v>2150</v>
      </c>
      <c r="G714" s="1" t="s">
        <v>21</v>
      </c>
      <c r="H714" s="1">
        <v>1.725</v>
      </c>
      <c r="I714" s="1">
        <v>1.756</v>
      </c>
      <c r="J714" s="1">
        <v>24.484877102132</v>
      </c>
      <c r="K714" t="str">
        <f t="shared" si="66"/>
        <v>缺口合适</v>
      </c>
      <c r="L714" s="2">
        <f t="shared" si="67"/>
        <v>1717.5</v>
      </c>
      <c r="M714" s="2">
        <f t="shared" si="68"/>
        <v>2962.6875</v>
      </c>
      <c r="N714" s="2">
        <f t="shared" si="69"/>
        <v>812.6875</v>
      </c>
      <c r="O714" s="2">
        <f t="shared" si="70"/>
        <v>415.25</v>
      </c>
      <c r="P714" s="2">
        <f t="shared" si="71"/>
        <v>830.5</v>
      </c>
    </row>
    <row r="715" spans="1:16">
      <c r="A715" s="1">
        <v>714</v>
      </c>
      <c r="B715" s="1">
        <v>32</v>
      </c>
      <c r="C715" s="1" t="s">
        <v>16</v>
      </c>
      <c r="D715" s="1">
        <v>174</v>
      </c>
      <c r="E715" s="1">
        <v>116</v>
      </c>
      <c r="F715" s="1">
        <v>1178</v>
      </c>
      <c r="G715" s="1" t="s">
        <v>21</v>
      </c>
      <c r="H715" s="1">
        <v>1.725</v>
      </c>
      <c r="I715" s="1">
        <v>1.74</v>
      </c>
      <c r="J715" s="1">
        <v>38.3141762452107</v>
      </c>
      <c r="K715" t="str">
        <f t="shared" si="66"/>
        <v>缺口过大</v>
      </c>
      <c r="L715" s="2">
        <f t="shared" si="67"/>
        <v>2092.5</v>
      </c>
      <c r="M715" s="2">
        <f t="shared" si="68"/>
        <v>3609.5625</v>
      </c>
      <c r="N715" s="2">
        <f t="shared" si="69"/>
        <v>2431.5625</v>
      </c>
      <c r="O715" s="2">
        <f t="shared" si="70"/>
        <v>638</v>
      </c>
      <c r="P715" s="2">
        <f t="shared" si="71"/>
        <v>1276</v>
      </c>
    </row>
    <row r="716" spans="1:16">
      <c r="A716" s="1">
        <v>715</v>
      </c>
      <c r="B716" s="1">
        <v>34</v>
      </c>
      <c r="C716" s="1" t="s">
        <v>18</v>
      </c>
      <c r="D716" s="1">
        <v>153.8</v>
      </c>
      <c r="E716" s="1">
        <v>79.2</v>
      </c>
      <c r="F716" s="1">
        <v>840</v>
      </c>
      <c r="G716" s="1" t="s">
        <v>19</v>
      </c>
      <c r="H716" s="1">
        <v>1.2</v>
      </c>
      <c r="I716" s="1">
        <v>1.538</v>
      </c>
      <c r="J716" s="1">
        <v>33.4820862383552</v>
      </c>
      <c r="K716" t="str">
        <f t="shared" si="66"/>
        <v>缺口合适</v>
      </c>
      <c r="L716" s="2">
        <f t="shared" si="67"/>
        <v>1422.25</v>
      </c>
      <c r="M716" s="2">
        <f t="shared" si="68"/>
        <v>1706.7</v>
      </c>
      <c r="N716" s="2">
        <f t="shared" si="69"/>
        <v>866.7</v>
      </c>
      <c r="O716" s="2">
        <f t="shared" si="70"/>
        <v>435.6</v>
      </c>
      <c r="P716" s="2">
        <f t="shared" si="71"/>
        <v>871.2</v>
      </c>
    </row>
    <row r="717" spans="1:16">
      <c r="A717" s="1">
        <v>716</v>
      </c>
      <c r="B717" s="1">
        <v>30</v>
      </c>
      <c r="C717" s="1" t="s">
        <v>18</v>
      </c>
      <c r="D717" s="1">
        <v>170.2</v>
      </c>
      <c r="E717" s="1">
        <v>121.2</v>
      </c>
      <c r="F717" s="1">
        <v>2338</v>
      </c>
      <c r="G717" s="1" t="s">
        <v>21</v>
      </c>
      <c r="H717" s="1">
        <v>1.725</v>
      </c>
      <c r="I717" s="1">
        <v>1.702</v>
      </c>
      <c r="J717" s="1">
        <v>41.8392131466264</v>
      </c>
      <c r="K717" t="str">
        <f t="shared" si="66"/>
        <v>缺口合适</v>
      </c>
      <c r="L717" s="2">
        <f t="shared" si="67"/>
        <v>1964.75</v>
      </c>
      <c r="M717" s="2">
        <f t="shared" si="68"/>
        <v>3389.19375</v>
      </c>
      <c r="N717" s="2">
        <f t="shared" si="69"/>
        <v>1051.19375</v>
      </c>
      <c r="O717" s="2">
        <f t="shared" si="70"/>
        <v>666.6</v>
      </c>
      <c r="P717" s="2">
        <f t="shared" si="71"/>
        <v>1333.2</v>
      </c>
    </row>
    <row r="718" spans="1:16">
      <c r="A718" s="1">
        <v>717</v>
      </c>
      <c r="B718" s="1">
        <v>27</v>
      </c>
      <c r="C718" s="1" t="s">
        <v>18</v>
      </c>
      <c r="D718" s="1">
        <v>169.4</v>
      </c>
      <c r="E718" s="1">
        <v>91.9</v>
      </c>
      <c r="F718" s="1">
        <v>1808</v>
      </c>
      <c r="G718" s="1" t="s">
        <v>17</v>
      </c>
      <c r="H718" s="1">
        <v>1.375</v>
      </c>
      <c r="I718" s="1">
        <v>1.694</v>
      </c>
      <c r="J718" s="1">
        <v>32.0249676265561</v>
      </c>
      <c r="K718" t="str">
        <f t="shared" si="66"/>
        <v>缺口过小</v>
      </c>
      <c r="L718" s="2">
        <f t="shared" si="67"/>
        <v>1681.75</v>
      </c>
      <c r="M718" s="2">
        <f t="shared" si="68"/>
        <v>2312.40625</v>
      </c>
      <c r="N718" s="2">
        <f t="shared" si="69"/>
        <v>504.40625</v>
      </c>
      <c r="O718" s="2">
        <f t="shared" si="70"/>
        <v>505.45</v>
      </c>
      <c r="P718" s="2">
        <f t="shared" si="71"/>
        <v>1010.9</v>
      </c>
    </row>
    <row r="719" spans="1:16">
      <c r="A719" s="1">
        <v>718</v>
      </c>
      <c r="B719" s="1">
        <v>28</v>
      </c>
      <c r="C719" s="1" t="s">
        <v>16</v>
      </c>
      <c r="D719" s="1">
        <v>183.1</v>
      </c>
      <c r="E719" s="1">
        <v>128.2</v>
      </c>
      <c r="F719" s="1">
        <v>2006</v>
      </c>
      <c r="G719" s="1" t="s">
        <v>17</v>
      </c>
      <c r="H719" s="1">
        <v>1.375</v>
      </c>
      <c r="I719" s="1">
        <v>1.831</v>
      </c>
      <c r="J719" s="1">
        <v>38.2394235332332</v>
      </c>
      <c r="K719" t="str">
        <f t="shared" si="66"/>
        <v>缺口合适</v>
      </c>
      <c r="L719" s="2">
        <f t="shared" si="67"/>
        <v>2291.375</v>
      </c>
      <c r="M719" s="2">
        <f t="shared" si="68"/>
        <v>3150.640625</v>
      </c>
      <c r="N719" s="2">
        <f t="shared" si="69"/>
        <v>1144.640625</v>
      </c>
      <c r="O719" s="2">
        <f t="shared" si="70"/>
        <v>705.1</v>
      </c>
      <c r="P719" s="2">
        <f t="shared" si="71"/>
        <v>1410.2</v>
      </c>
    </row>
    <row r="720" spans="1:16">
      <c r="A720" s="1">
        <v>719</v>
      </c>
      <c r="B720" s="1">
        <v>29</v>
      </c>
      <c r="C720" s="1" t="s">
        <v>18</v>
      </c>
      <c r="D720" s="1">
        <v>161.4</v>
      </c>
      <c r="E720" s="1">
        <v>80</v>
      </c>
      <c r="F720" s="1">
        <v>1714</v>
      </c>
      <c r="G720" s="1" t="s">
        <v>21</v>
      </c>
      <c r="H720" s="1">
        <v>1.725</v>
      </c>
      <c r="I720" s="1">
        <v>1.614</v>
      </c>
      <c r="J720" s="1">
        <v>30.7102199005295</v>
      </c>
      <c r="K720" t="str">
        <f t="shared" si="66"/>
        <v>缺口合适</v>
      </c>
      <c r="L720" s="2">
        <f t="shared" si="67"/>
        <v>1502.75</v>
      </c>
      <c r="M720" s="2">
        <f t="shared" si="68"/>
        <v>2592.24375</v>
      </c>
      <c r="N720" s="2">
        <f t="shared" si="69"/>
        <v>878.24375</v>
      </c>
      <c r="O720" s="2">
        <f t="shared" si="70"/>
        <v>440</v>
      </c>
      <c r="P720" s="2">
        <f t="shared" si="71"/>
        <v>880</v>
      </c>
    </row>
    <row r="721" spans="1:16">
      <c r="A721" s="1">
        <v>720</v>
      </c>
      <c r="B721" s="1">
        <v>22</v>
      </c>
      <c r="C721" s="1" t="s">
        <v>16</v>
      </c>
      <c r="D721" s="1">
        <v>172</v>
      </c>
      <c r="E721" s="1">
        <v>58.6</v>
      </c>
      <c r="F721" s="1">
        <v>1217</v>
      </c>
      <c r="G721" s="1" t="s">
        <v>21</v>
      </c>
      <c r="H721" s="1">
        <v>1.725</v>
      </c>
      <c r="I721" s="1">
        <v>1.72</v>
      </c>
      <c r="J721" s="1">
        <v>19.808004326663</v>
      </c>
      <c r="K721" t="str">
        <f t="shared" si="66"/>
        <v>缺口过大</v>
      </c>
      <c r="L721" s="2">
        <f t="shared" si="67"/>
        <v>1556</v>
      </c>
      <c r="M721" s="2">
        <f t="shared" si="68"/>
        <v>2684.1</v>
      </c>
      <c r="N721" s="2">
        <f t="shared" si="69"/>
        <v>1467.1</v>
      </c>
      <c r="O721" s="2">
        <f t="shared" si="70"/>
        <v>322.3</v>
      </c>
      <c r="P721" s="2">
        <f t="shared" si="71"/>
        <v>644.6</v>
      </c>
    </row>
    <row r="722" spans="1:16">
      <c r="A722" s="1">
        <v>721</v>
      </c>
      <c r="B722" s="1">
        <v>34</v>
      </c>
      <c r="C722" s="1" t="s">
        <v>18</v>
      </c>
      <c r="D722" s="1">
        <v>162.4</v>
      </c>
      <c r="E722" s="1">
        <v>59</v>
      </c>
      <c r="F722" s="1">
        <v>1155</v>
      </c>
      <c r="G722" s="1" t="s">
        <v>21</v>
      </c>
      <c r="H722" s="1">
        <v>1.725</v>
      </c>
      <c r="I722" s="1">
        <v>1.624</v>
      </c>
      <c r="J722" s="1">
        <v>22.370719988352</v>
      </c>
      <c r="K722" t="str">
        <f t="shared" si="66"/>
        <v>缺口过大</v>
      </c>
      <c r="L722" s="2">
        <f t="shared" si="67"/>
        <v>1274</v>
      </c>
      <c r="M722" s="2">
        <f t="shared" si="68"/>
        <v>2197.65</v>
      </c>
      <c r="N722" s="2">
        <f t="shared" si="69"/>
        <v>1042.65</v>
      </c>
      <c r="O722" s="2">
        <f t="shared" si="70"/>
        <v>324.5</v>
      </c>
      <c r="P722" s="2">
        <f t="shared" si="71"/>
        <v>649</v>
      </c>
    </row>
    <row r="723" spans="1:16">
      <c r="A723" s="1">
        <v>722</v>
      </c>
      <c r="B723" s="1">
        <v>33</v>
      </c>
      <c r="C723" s="1" t="s">
        <v>18</v>
      </c>
      <c r="D723" s="1">
        <v>159.8</v>
      </c>
      <c r="E723" s="1">
        <v>62.1</v>
      </c>
      <c r="F723" s="1">
        <v>1751</v>
      </c>
      <c r="G723" s="1" t="s">
        <v>17</v>
      </c>
      <c r="H723" s="1">
        <v>1.375</v>
      </c>
      <c r="I723" s="1">
        <v>1.598</v>
      </c>
      <c r="J723" s="1">
        <v>24.3185709295568</v>
      </c>
      <c r="K723" t="str">
        <f t="shared" si="66"/>
        <v>缺口过小</v>
      </c>
      <c r="L723" s="2">
        <f t="shared" si="67"/>
        <v>1293.75</v>
      </c>
      <c r="M723" s="2">
        <f t="shared" si="68"/>
        <v>1778.90625</v>
      </c>
      <c r="N723" s="2">
        <f t="shared" si="69"/>
        <v>27.90625</v>
      </c>
      <c r="O723" s="2">
        <f t="shared" si="70"/>
        <v>341.55</v>
      </c>
      <c r="P723" s="2">
        <f t="shared" si="71"/>
        <v>683.1</v>
      </c>
    </row>
    <row r="724" spans="1:16">
      <c r="A724" s="1">
        <v>723</v>
      </c>
      <c r="B724" s="1">
        <v>34</v>
      </c>
      <c r="C724" s="1" t="s">
        <v>18</v>
      </c>
      <c r="D724" s="1">
        <v>174.6</v>
      </c>
      <c r="E724" s="1">
        <v>116.1</v>
      </c>
      <c r="F724" s="1">
        <v>2676</v>
      </c>
      <c r="G724" s="1" t="s">
        <v>17</v>
      </c>
      <c r="H724" s="1">
        <v>1.375</v>
      </c>
      <c r="I724" s="1">
        <v>1.746</v>
      </c>
      <c r="J724" s="1">
        <v>38.0841038721791</v>
      </c>
      <c r="K724" t="str">
        <f t="shared" si="66"/>
        <v>没有热量缺口</v>
      </c>
      <c r="L724" s="2">
        <f t="shared" si="67"/>
        <v>1921.25</v>
      </c>
      <c r="M724" s="2">
        <f t="shared" si="68"/>
        <v>2641.71875</v>
      </c>
      <c r="N724" s="2">
        <f t="shared" si="69"/>
        <v>-34.28125</v>
      </c>
      <c r="O724" s="2">
        <f t="shared" si="70"/>
        <v>638.55</v>
      </c>
      <c r="P724" s="2">
        <f t="shared" si="71"/>
        <v>1277.1</v>
      </c>
    </row>
    <row r="725" spans="1:16">
      <c r="A725" s="1">
        <v>724</v>
      </c>
      <c r="B725" s="1">
        <v>30</v>
      </c>
      <c r="C725" s="1" t="s">
        <v>16</v>
      </c>
      <c r="D725" s="1">
        <v>178</v>
      </c>
      <c r="E725" s="1">
        <v>85.9</v>
      </c>
      <c r="F725" s="1">
        <v>1567</v>
      </c>
      <c r="G725" s="1" t="s">
        <v>17</v>
      </c>
      <c r="H725" s="1">
        <v>1.375</v>
      </c>
      <c r="I725" s="1">
        <v>1.78</v>
      </c>
      <c r="J725" s="1">
        <v>27.1114758237596</v>
      </c>
      <c r="K725" t="str">
        <f t="shared" si="66"/>
        <v>缺口合适</v>
      </c>
      <c r="L725" s="2">
        <f t="shared" si="67"/>
        <v>1826.5</v>
      </c>
      <c r="M725" s="2">
        <f t="shared" si="68"/>
        <v>2511.4375</v>
      </c>
      <c r="N725" s="2">
        <f t="shared" si="69"/>
        <v>944.4375</v>
      </c>
      <c r="O725" s="2">
        <f t="shared" si="70"/>
        <v>472.45</v>
      </c>
      <c r="P725" s="2">
        <f t="shared" si="71"/>
        <v>944.9</v>
      </c>
    </row>
    <row r="726" spans="1:16">
      <c r="A726" s="1">
        <v>725</v>
      </c>
      <c r="B726" s="1">
        <v>28</v>
      </c>
      <c r="C726" s="1" t="s">
        <v>16</v>
      </c>
      <c r="D726" s="1">
        <v>172.2</v>
      </c>
      <c r="E726" s="1">
        <v>87.3</v>
      </c>
      <c r="F726" s="1">
        <v>1683</v>
      </c>
      <c r="G726" s="1" t="s">
        <v>21</v>
      </c>
      <c r="H726" s="1">
        <v>1.725</v>
      </c>
      <c r="I726" s="1">
        <v>1.722</v>
      </c>
      <c r="J726" s="1">
        <v>29.4406876373392</v>
      </c>
      <c r="K726" t="str">
        <f t="shared" si="66"/>
        <v>缺口过大</v>
      </c>
      <c r="L726" s="2">
        <f t="shared" si="67"/>
        <v>1814.25</v>
      </c>
      <c r="M726" s="2">
        <f t="shared" si="68"/>
        <v>3129.58125</v>
      </c>
      <c r="N726" s="2">
        <f t="shared" si="69"/>
        <v>1446.58125</v>
      </c>
      <c r="O726" s="2">
        <f t="shared" si="70"/>
        <v>480.15</v>
      </c>
      <c r="P726" s="2">
        <f t="shared" si="71"/>
        <v>960.3</v>
      </c>
    </row>
    <row r="727" spans="1:16">
      <c r="A727" s="1">
        <v>726</v>
      </c>
      <c r="B727" s="1">
        <v>30</v>
      </c>
      <c r="C727" s="1" t="s">
        <v>18</v>
      </c>
      <c r="D727" s="1">
        <v>165.8</v>
      </c>
      <c r="E727" s="1">
        <v>103.4</v>
      </c>
      <c r="F727" s="1">
        <v>375</v>
      </c>
      <c r="G727" s="1" t="s">
        <v>19</v>
      </c>
      <c r="H727" s="1">
        <v>1.2</v>
      </c>
      <c r="I727" s="1">
        <v>1.658</v>
      </c>
      <c r="J727" s="1">
        <v>37.6141702837869</v>
      </c>
      <c r="K727" t="str">
        <f t="shared" si="66"/>
        <v>缺口过大</v>
      </c>
      <c r="L727" s="2">
        <f t="shared" si="67"/>
        <v>1759.25</v>
      </c>
      <c r="M727" s="2">
        <f t="shared" si="68"/>
        <v>2111.1</v>
      </c>
      <c r="N727" s="2">
        <f t="shared" si="69"/>
        <v>1736.1</v>
      </c>
      <c r="O727" s="2">
        <f t="shared" si="70"/>
        <v>568.7</v>
      </c>
      <c r="P727" s="2">
        <f t="shared" si="71"/>
        <v>1137.4</v>
      </c>
    </row>
    <row r="728" spans="1:16">
      <c r="A728" s="1">
        <v>727</v>
      </c>
      <c r="B728" s="1">
        <v>29</v>
      </c>
      <c r="C728" s="1" t="s">
        <v>18</v>
      </c>
      <c r="D728" s="1">
        <v>161.3</v>
      </c>
      <c r="E728" s="1">
        <v>64.2</v>
      </c>
      <c r="F728" s="1">
        <v>1494</v>
      </c>
      <c r="G728" s="1" t="s">
        <v>17</v>
      </c>
      <c r="H728" s="1">
        <v>1.375</v>
      </c>
      <c r="I728" s="1">
        <v>1.613</v>
      </c>
      <c r="J728" s="1">
        <v>24.6755188489062</v>
      </c>
      <c r="K728" t="str">
        <f t="shared" si="66"/>
        <v>缺口合适</v>
      </c>
      <c r="L728" s="2">
        <f t="shared" si="67"/>
        <v>1344.125</v>
      </c>
      <c r="M728" s="2">
        <f t="shared" si="68"/>
        <v>1848.171875</v>
      </c>
      <c r="N728" s="2">
        <f t="shared" si="69"/>
        <v>354.171875</v>
      </c>
      <c r="O728" s="2">
        <f t="shared" si="70"/>
        <v>353.1</v>
      </c>
      <c r="P728" s="2">
        <f t="shared" si="71"/>
        <v>706.2</v>
      </c>
    </row>
    <row r="729" spans="1:16">
      <c r="A729" s="1">
        <v>728</v>
      </c>
      <c r="B729" s="1">
        <v>34</v>
      </c>
      <c r="C729" s="1" t="s">
        <v>18</v>
      </c>
      <c r="D729" s="1">
        <v>158.8</v>
      </c>
      <c r="E729" s="1">
        <v>78</v>
      </c>
      <c r="F729" s="1">
        <v>1649</v>
      </c>
      <c r="G729" s="1" t="s">
        <v>17</v>
      </c>
      <c r="H729" s="1">
        <v>1.375</v>
      </c>
      <c r="I729" s="1">
        <v>1.588</v>
      </c>
      <c r="J729" s="1">
        <v>30.9309747539797</v>
      </c>
      <c r="K729" t="str">
        <f t="shared" si="66"/>
        <v>缺口过小</v>
      </c>
      <c r="L729" s="2">
        <f t="shared" si="67"/>
        <v>1441.5</v>
      </c>
      <c r="M729" s="2">
        <f t="shared" si="68"/>
        <v>1982.0625</v>
      </c>
      <c r="N729" s="2">
        <f t="shared" si="69"/>
        <v>333.0625</v>
      </c>
      <c r="O729" s="2">
        <f t="shared" si="70"/>
        <v>429</v>
      </c>
      <c r="P729" s="2">
        <f t="shared" si="71"/>
        <v>858</v>
      </c>
    </row>
    <row r="730" spans="1:16">
      <c r="A730" s="1">
        <v>729</v>
      </c>
      <c r="B730" s="1">
        <v>29</v>
      </c>
      <c r="C730" s="1" t="s">
        <v>18</v>
      </c>
      <c r="D730" s="1">
        <v>167.1</v>
      </c>
      <c r="E730" s="1">
        <v>77.3</v>
      </c>
      <c r="F730" s="1">
        <v>1224</v>
      </c>
      <c r="G730" s="1" t="s">
        <v>20</v>
      </c>
      <c r="H730" s="1">
        <v>1.55</v>
      </c>
      <c r="I730" s="1">
        <v>1.671</v>
      </c>
      <c r="J730" s="1">
        <v>27.6838568017588</v>
      </c>
      <c r="K730" t="str">
        <f t="shared" si="66"/>
        <v>缺口过大</v>
      </c>
      <c r="L730" s="2">
        <f t="shared" si="67"/>
        <v>1511.375</v>
      </c>
      <c r="M730" s="2">
        <f t="shared" si="68"/>
        <v>2342.63125</v>
      </c>
      <c r="N730" s="2">
        <f t="shared" si="69"/>
        <v>1118.63125</v>
      </c>
      <c r="O730" s="2">
        <f t="shared" si="70"/>
        <v>425.15</v>
      </c>
      <c r="P730" s="2">
        <f t="shared" si="71"/>
        <v>850.3</v>
      </c>
    </row>
    <row r="731" spans="1:16">
      <c r="A731" s="1">
        <v>730</v>
      </c>
      <c r="B731" s="1">
        <v>30</v>
      </c>
      <c r="C731" s="1" t="s">
        <v>18</v>
      </c>
      <c r="D731" s="1">
        <v>162.8</v>
      </c>
      <c r="E731" s="1">
        <v>58.5</v>
      </c>
      <c r="F731" s="1">
        <v>2441</v>
      </c>
      <c r="G731" s="1" t="s">
        <v>17</v>
      </c>
      <c r="H731" s="1">
        <v>1.375</v>
      </c>
      <c r="I731" s="1">
        <v>1.628</v>
      </c>
      <c r="J731" s="1">
        <v>22.0722733007745</v>
      </c>
      <c r="K731" t="str">
        <f t="shared" si="66"/>
        <v>没有热量缺口</v>
      </c>
      <c r="L731" s="2">
        <f t="shared" si="67"/>
        <v>1291.5</v>
      </c>
      <c r="M731" s="2">
        <f t="shared" si="68"/>
        <v>1775.8125</v>
      </c>
      <c r="N731" s="2">
        <f t="shared" si="69"/>
        <v>-665.1875</v>
      </c>
      <c r="O731" s="2">
        <f t="shared" si="70"/>
        <v>321.75</v>
      </c>
      <c r="P731" s="2">
        <f t="shared" si="71"/>
        <v>643.5</v>
      </c>
    </row>
    <row r="732" spans="1:16">
      <c r="A732" s="1">
        <v>731</v>
      </c>
      <c r="B732" s="1">
        <v>34</v>
      </c>
      <c r="C732" s="1" t="s">
        <v>18</v>
      </c>
      <c r="D732" s="1">
        <v>163.2</v>
      </c>
      <c r="E732" s="1">
        <v>77.6</v>
      </c>
      <c r="F732" s="1">
        <v>1548</v>
      </c>
      <c r="G732" s="1" t="s">
        <v>21</v>
      </c>
      <c r="H732" s="1">
        <v>1.725</v>
      </c>
      <c r="I732" s="1">
        <v>1.632</v>
      </c>
      <c r="J732" s="1">
        <v>29.1354286812764</v>
      </c>
      <c r="K732" t="str">
        <f t="shared" si="66"/>
        <v>缺口过大</v>
      </c>
      <c r="L732" s="2">
        <f t="shared" si="67"/>
        <v>1465</v>
      </c>
      <c r="M732" s="2">
        <f t="shared" si="68"/>
        <v>2527.125</v>
      </c>
      <c r="N732" s="2">
        <f t="shared" si="69"/>
        <v>979.125</v>
      </c>
      <c r="O732" s="2">
        <f t="shared" si="70"/>
        <v>426.8</v>
      </c>
      <c r="P732" s="2">
        <f t="shared" si="71"/>
        <v>853.6</v>
      </c>
    </row>
    <row r="733" spans="1:16">
      <c r="A733" s="1">
        <v>732</v>
      </c>
      <c r="B733" s="1">
        <v>33</v>
      </c>
      <c r="C733" s="1" t="s">
        <v>18</v>
      </c>
      <c r="D733" s="1">
        <v>161.9</v>
      </c>
      <c r="E733" s="1">
        <v>68.1</v>
      </c>
      <c r="F733" s="1">
        <v>2596</v>
      </c>
      <c r="G733" s="1" t="s">
        <v>17</v>
      </c>
      <c r="H733" s="1">
        <v>1.375</v>
      </c>
      <c r="I733" s="1">
        <v>1.619</v>
      </c>
      <c r="J733" s="1">
        <v>25.9808535225421</v>
      </c>
      <c r="K733" t="str">
        <f t="shared" si="66"/>
        <v>没有热量缺口</v>
      </c>
      <c r="L733" s="2">
        <f t="shared" si="67"/>
        <v>1366.875</v>
      </c>
      <c r="M733" s="2">
        <f t="shared" si="68"/>
        <v>1879.453125</v>
      </c>
      <c r="N733" s="2">
        <f t="shared" si="69"/>
        <v>-716.546875</v>
      </c>
      <c r="O733" s="2">
        <f t="shared" si="70"/>
        <v>374.55</v>
      </c>
      <c r="P733" s="2">
        <f t="shared" si="71"/>
        <v>749.1</v>
      </c>
    </row>
    <row r="734" spans="1:16">
      <c r="A734" s="1">
        <v>733</v>
      </c>
      <c r="B734" s="1">
        <v>32</v>
      </c>
      <c r="C734" s="1" t="s">
        <v>16</v>
      </c>
      <c r="D734" s="1">
        <v>169.7</v>
      </c>
      <c r="E734" s="1">
        <v>77.4</v>
      </c>
      <c r="F734" s="1">
        <v>3008</v>
      </c>
      <c r="G734" s="1" t="s">
        <v>21</v>
      </c>
      <c r="H734" s="1">
        <v>1.725</v>
      </c>
      <c r="I734" s="1">
        <v>1.69699999999999</v>
      </c>
      <c r="J734" s="1">
        <v>26.8767824532807</v>
      </c>
      <c r="K734" t="str">
        <f t="shared" si="66"/>
        <v>没有热量缺口</v>
      </c>
      <c r="L734" s="2">
        <f t="shared" si="67"/>
        <v>1679.625</v>
      </c>
      <c r="M734" s="2">
        <f t="shared" si="68"/>
        <v>2897.353125</v>
      </c>
      <c r="N734" s="2">
        <f t="shared" si="69"/>
        <v>-110.646875</v>
      </c>
      <c r="O734" s="2">
        <f t="shared" si="70"/>
        <v>425.7</v>
      </c>
      <c r="P734" s="2">
        <f t="shared" si="71"/>
        <v>851.4</v>
      </c>
    </row>
    <row r="735" spans="1:16">
      <c r="A735" s="1">
        <v>734</v>
      </c>
      <c r="B735" s="1">
        <v>31</v>
      </c>
      <c r="C735" s="1" t="s">
        <v>18</v>
      </c>
      <c r="D735" s="1">
        <v>168.4</v>
      </c>
      <c r="E735" s="1">
        <v>60.9</v>
      </c>
      <c r="F735" s="1">
        <v>1807</v>
      </c>
      <c r="G735" s="1" t="s">
        <v>21</v>
      </c>
      <c r="H735" s="1">
        <v>1.725</v>
      </c>
      <c r="I735" s="1">
        <v>1.684</v>
      </c>
      <c r="J735" s="1">
        <v>21.4749973200331</v>
      </c>
      <c r="K735" t="str">
        <f t="shared" si="66"/>
        <v>缺口合适</v>
      </c>
      <c r="L735" s="2">
        <f t="shared" si="67"/>
        <v>1345.5</v>
      </c>
      <c r="M735" s="2">
        <f t="shared" si="68"/>
        <v>2320.9875</v>
      </c>
      <c r="N735" s="2">
        <f t="shared" si="69"/>
        <v>513.9875</v>
      </c>
      <c r="O735" s="2">
        <f t="shared" si="70"/>
        <v>334.95</v>
      </c>
      <c r="P735" s="2">
        <f t="shared" si="71"/>
        <v>669.9</v>
      </c>
    </row>
    <row r="736" spans="1:16">
      <c r="A736" s="1">
        <v>735</v>
      </c>
      <c r="B736" s="1">
        <v>28</v>
      </c>
      <c r="C736" s="1" t="s">
        <v>18</v>
      </c>
      <c r="D736" s="1">
        <v>158.4</v>
      </c>
      <c r="E736" s="1">
        <v>66.6</v>
      </c>
      <c r="F736" s="1">
        <v>2527</v>
      </c>
      <c r="G736" s="1" t="s">
        <v>20</v>
      </c>
      <c r="H736" s="1">
        <v>1.55</v>
      </c>
      <c r="I736" s="1">
        <v>1.584</v>
      </c>
      <c r="J736" s="1">
        <v>26.5438475665748</v>
      </c>
      <c r="K736" t="str">
        <f t="shared" si="66"/>
        <v>没有热量缺口</v>
      </c>
      <c r="L736" s="2">
        <f t="shared" si="67"/>
        <v>1355</v>
      </c>
      <c r="M736" s="2">
        <f t="shared" si="68"/>
        <v>2100.25</v>
      </c>
      <c r="N736" s="2">
        <f t="shared" si="69"/>
        <v>-426.75</v>
      </c>
      <c r="O736" s="2">
        <f t="shared" si="70"/>
        <v>366.3</v>
      </c>
      <c r="P736" s="2">
        <f t="shared" si="71"/>
        <v>732.6</v>
      </c>
    </row>
    <row r="737" spans="1:16">
      <c r="A737" s="1">
        <v>736</v>
      </c>
      <c r="B737" s="1">
        <v>31</v>
      </c>
      <c r="C737" s="1" t="s">
        <v>16</v>
      </c>
      <c r="D737" s="1">
        <v>182.4</v>
      </c>
      <c r="E737" s="1">
        <v>95.4</v>
      </c>
      <c r="F737" s="1">
        <v>1328</v>
      </c>
      <c r="G737" s="1" t="s">
        <v>21</v>
      </c>
      <c r="H737" s="1">
        <v>1.725</v>
      </c>
      <c r="I737" s="1">
        <v>1.824</v>
      </c>
      <c r="J737" s="1">
        <v>28.6746883656509</v>
      </c>
      <c r="K737" t="str">
        <f t="shared" si="66"/>
        <v>缺口过大</v>
      </c>
      <c r="L737" s="2">
        <f t="shared" si="67"/>
        <v>1944</v>
      </c>
      <c r="M737" s="2">
        <f t="shared" si="68"/>
        <v>3353.4</v>
      </c>
      <c r="N737" s="2">
        <f t="shared" si="69"/>
        <v>2025.4</v>
      </c>
      <c r="O737" s="2">
        <f t="shared" si="70"/>
        <v>524.7</v>
      </c>
      <c r="P737" s="2">
        <f t="shared" si="71"/>
        <v>1049.4</v>
      </c>
    </row>
    <row r="738" spans="1:16">
      <c r="A738" s="1">
        <v>737</v>
      </c>
      <c r="B738" s="1">
        <v>23</v>
      </c>
      <c r="C738" s="1" t="s">
        <v>16</v>
      </c>
      <c r="D738" s="1">
        <v>173.7</v>
      </c>
      <c r="E738" s="1">
        <v>60.8</v>
      </c>
      <c r="F738" s="1">
        <v>1295</v>
      </c>
      <c r="G738" s="1" t="s">
        <v>17</v>
      </c>
      <c r="H738" s="1">
        <v>1.375</v>
      </c>
      <c r="I738" s="1">
        <v>1.73699999999999</v>
      </c>
      <c r="J738" s="1">
        <v>20.1513405447291</v>
      </c>
      <c r="K738" t="str">
        <f t="shared" si="66"/>
        <v>缺口过大</v>
      </c>
      <c r="L738" s="2">
        <f t="shared" si="67"/>
        <v>1583.625</v>
      </c>
      <c r="M738" s="2">
        <f t="shared" si="68"/>
        <v>2177.484375</v>
      </c>
      <c r="N738" s="2">
        <f t="shared" si="69"/>
        <v>882.484375</v>
      </c>
      <c r="O738" s="2">
        <f t="shared" si="70"/>
        <v>334.4</v>
      </c>
      <c r="P738" s="2">
        <f t="shared" si="71"/>
        <v>668.8</v>
      </c>
    </row>
    <row r="739" spans="1:16">
      <c r="A739" s="1">
        <v>738</v>
      </c>
      <c r="B739" s="1">
        <v>31</v>
      </c>
      <c r="C739" s="1" t="s">
        <v>18</v>
      </c>
      <c r="D739" s="1">
        <v>166.4</v>
      </c>
      <c r="E739" s="1">
        <v>82.1</v>
      </c>
      <c r="F739" s="1">
        <v>2096</v>
      </c>
      <c r="G739" s="1" t="s">
        <v>17</v>
      </c>
      <c r="H739" s="1">
        <v>1.375</v>
      </c>
      <c r="I739" s="1">
        <v>1.664</v>
      </c>
      <c r="J739" s="1">
        <v>29.6508066752958</v>
      </c>
      <c r="K739" t="str">
        <f t="shared" si="66"/>
        <v>缺口过小</v>
      </c>
      <c r="L739" s="2">
        <f t="shared" si="67"/>
        <v>1545</v>
      </c>
      <c r="M739" s="2">
        <f t="shared" si="68"/>
        <v>2124.375</v>
      </c>
      <c r="N739" s="2">
        <f t="shared" si="69"/>
        <v>28.375</v>
      </c>
      <c r="O739" s="2">
        <f t="shared" si="70"/>
        <v>451.55</v>
      </c>
      <c r="P739" s="2">
        <f t="shared" si="71"/>
        <v>903.1</v>
      </c>
    </row>
    <row r="740" spans="1:16">
      <c r="A740" s="1">
        <v>739</v>
      </c>
      <c r="B740" s="1">
        <v>30</v>
      </c>
      <c r="C740" s="1" t="s">
        <v>18</v>
      </c>
      <c r="D740" s="1">
        <v>157.9</v>
      </c>
      <c r="E740" s="1">
        <v>73.5</v>
      </c>
      <c r="F740" s="1">
        <v>2694</v>
      </c>
      <c r="G740" s="1" t="s">
        <v>19</v>
      </c>
      <c r="H740" s="1">
        <v>1.2</v>
      </c>
      <c r="I740" s="1">
        <v>1.579</v>
      </c>
      <c r="J740" s="1">
        <v>29.47970132049</v>
      </c>
      <c r="K740" t="str">
        <f t="shared" si="66"/>
        <v>没有热量缺口</v>
      </c>
      <c r="L740" s="2">
        <f t="shared" si="67"/>
        <v>1410.875</v>
      </c>
      <c r="M740" s="2">
        <f t="shared" si="68"/>
        <v>1693.05</v>
      </c>
      <c r="N740" s="2">
        <f t="shared" si="69"/>
        <v>-1000.95</v>
      </c>
      <c r="O740" s="2">
        <f t="shared" si="70"/>
        <v>404.25</v>
      </c>
      <c r="P740" s="2">
        <f t="shared" si="71"/>
        <v>808.5</v>
      </c>
    </row>
    <row r="741" spans="1:16">
      <c r="A741" s="1">
        <v>740</v>
      </c>
      <c r="B741" s="1">
        <v>32</v>
      </c>
      <c r="C741" s="1" t="s">
        <v>16</v>
      </c>
      <c r="D741" s="1">
        <v>175.7</v>
      </c>
      <c r="E741" s="1">
        <v>70.6</v>
      </c>
      <c r="F741" s="1">
        <v>2812</v>
      </c>
      <c r="G741" s="1" t="s">
        <v>17</v>
      </c>
      <c r="H741" s="1">
        <v>1.375</v>
      </c>
      <c r="I741" s="1">
        <v>1.757</v>
      </c>
      <c r="J741" s="1">
        <v>22.8697374094159</v>
      </c>
      <c r="K741" t="str">
        <f t="shared" si="66"/>
        <v>没有热量缺口</v>
      </c>
      <c r="L741" s="2">
        <f t="shared" si="67"/>
        <v>1649.125</v>
      </c>
      <c r="M741" s="2">
        <f t="shared" si="68"/>
        <v>2267.546875</v>
      </c>
      <c r="N741" s="2">
        <f t="shared" si="69"/>
        <v>-544.453125</v>
      </c>
      <c r="O741" s="2">
        <f t="shared" si="70"/>
        <v>388.3</v>
      </c>
      <c r="P741" s="2">
        <f t="shared" si="71"/>
        <v>776.6</v>
      </c>
    </row>
    <row r="742" spans="1:16">
      <c r="A742" s="1">
        <v>741</v>
      </c>
      <c r="B742" s="1">
        <v>32</v>
      </c>
      <c r="C742" s="1" t="s">
        <v>18</v>
      </c>
      <c r="D742" s="1">
        <v>161.4</v>
      </c>
      <c r="E742" s="1">
        <v>81.4</v>
      </c>
      <c r="F742" s="1">
        <v>852</v>
      </c>
      <c r="G742" s="1" t="s">
        <v>17</v>
      </c>
      <c r="H742" s="1">
        <v>1.375</v>
      </c>
      <c r="I742" s="1">
        <v>1.614</v>
      </c>
      <c r="J742" s="1">
        <v>31.2476487487888</v>
      </c>
      <c r="K742" t="str">
        <f t="shared" si="66"/>
        <v>缺口过大</v>
      </c>
      <c r="L742" s="2">
        <f t="shared" si="67"/>
        <v>1501.75</v>
      </c>
      <c r="M742" s="2">
        <f t="shared" si="68"/>
        <v>2064.90625</v>
      </c>
      <c r="N742" s="2">
        <f t="shared" si="69"/>
        <v>1212.90625</v>
      </c>
      <c r="O742" s="2">
        <f t="shared" si="70"/>
        <v>447.7</v>
      </c>
      <c r="P742" s="2">
        <f t="shared" si="71"/>
        <v>895.4</v>
      </c>
    </row>
    <row r="743" spans="1:16">
      <c r="A743" s="1">
        <v>742</v>
      </c>
      <c r="B743" s="1">
        <v>31</v>
      </c>
      <c r="C743" s="1" t="s">
        <v>18</v>
      </c>
      <c r="D743" s="1">
        <v>164.5</v>
      </c>
      <c r="E743" s="1">
        <v>69.9</v>
      </c>
      <c r="F743" s="1">
        <v>747</v>
      </c>
      <c r="G743" s="1" t="s">
        <v>19</v>
      </c>
      <c r="H743" s="1">
        <v>1.2</v>
      </c>
      <c r="I743" s="1">
        <v>1.645</v>
      </c>
      <c r="J743" s="1">
        <v>25.8312469396993</v>
      </c>
      <c r="K743" t="str">
        <f t="shared" si="66"/>
        <v>缺口过大</v>
      </c>
      <c r="L743" s="2">
        <f t="shared" si="67"/>
        <v>1411.125</v>
      </c>
      <c r="M743" s="2">
        <f t="shared" si="68"/>
        <v>1693.35</v>
      </c>
      <c r="N743" s="2">
        <f t="shared" si="69"/>
        <v>946.35</v>
      </c>
      <c r="O743" s="2">
        <f t="shared" si="70"/>
        <v>384.45</v>
      </c>
      <c r="P743" s="2">
        <f t="shared" si="71"/>
        <v>768.9</v>
      </c>
    </row>
    <row r="744" spans="1:16">
      <c r="A744" s="1">
        <v>743</v>
      </c>
      <c r="B744" s="1">
        <v>30</v>
      </c>
      <c r="C744" s="1" t="s">
        <v>18</v>
      </c>
      <c r="D744" s="1">
        <v>154.5</v>
      </c>
      <c r="E744" s="1">
        <v>61.6</v>
      </c>
      <c r="F744" s="1">
        <v>1063</v>
      </c>
      <c r="G744" s="1" t="s">
        <v>17</v>
      </c>
      <c r="H744" s="1">
        <v>1.375</v>
      </c>
      <c r="I744" s="1">
        <v>1.545</v>
      </c>
      <c r="J744" s="1">
        <v>25.8061813345063</v>
      </c>
      <c r="K744" t="str">
        <f t="shared" si="66"/>
        <v>缺口过大</v>
      </c>
      <c r="L744" s="2">
        <f t="shared" si="67"/>
        <v>1270.625</v>
      </c>
      <c r="M744" s="2">
        <f t="shared" si="68"/>
        <v>1747.109375</v>
      </c>
      <c r="N744" s="2">
        <f t="shared" si="69"/>
        <v>684.109375</v>
      </c>
      <c r="O744" s="2">
        <f t="shared" si="70"/>
        <v>338.8</v>
      </c>
      <c r="P744" s="2">
        <f t="shared" si="71"/>
        <v>677.6</v>
      </c>
    </row>
    <row r="745" spans="1:16">
      <c r="A745" s="1">
        <v>744</v>
      </c>
      <c r="B745" s="1">
        <v>35</v>
      </c>
      <c r="C745" s="1" t="s">
        <v>16</v>
      </c>
      <c r="D745" s="1">
        <v>180.5</v>
      </c>
      <c r="E745" s="1">
        <v>101.3</v>
      </c>
      <c r="F745" s="1">
        <v>1758</v>
      </c>
      <c r="G745" s="1" t="s">
        <v>17</v>
      </c>
      <c r="H745" s="1">
        <v>1.375</v>
      </c>
      <c r="I745" s="1">
        <v>1.805</v>
      </c>
      <c r="J745" s="1">
        <v>31.0924563193959</v>
      </c>
      <c r="K745" t="str">
        <f t="shared" si="66"/>
        <v>缺口合适</v>
      </c>
      <c r="L745" s="2">
        <f t="shared" si="67"/>
        <v>1971.125</v>
      </c>
      <c r="M745" s="2">
        <f t="shared" si="68"/>
        <v>2710.296875</v>
      </c>
      <c r="N745" s="2">
        <f t="shared" si="69"/>
        <v>952.296875</v>
      </c>
      <c r="O745" s="2">
        <f t="shared" si="70"/>
        <v>557.15</v>
      </c>
      <c r="P745" s="2">
        <f t="shared" si="71"/>
        <v>1114.3</v>
      </c>
    </row>
    <row r="746" spans="1:16">
      <c r="A746" s="1">
        <v>745</v>
      </c>
      <c r="B746" s="1">
        <v>34</v>
      </c>
      <c r="C746" s="1" t="s">
        <v>16</v>
      </c>
      <c r="D746" s="1">
        <v>177.6</v>
      </c>
      <c r="E746" s="1">
        <v>79.5</v>
      </c>
      <c r="F746" s="1">
        <v>2047</v>
      </c>
      <c r="G746" s="1" t="s">
        <v>19</v>
      </c>
      <c r="H746" s="1">
        <v>1.2</v>
      </c>
      <c r="I746" s="1">
        <v>1.776</v>
      </c>
      <c r="J746" s="1">
        <v>25.2046810323837</v>
      </c>
      <c r="K746" t="str">
        <f t="shared" si="66"/>
        <v>缺口过小</v>
      </c>
      <c r="L746" s="2">
        <f t="shared" si="67"/>
        <v>1740</v>
      </c>
      <c r="M746" s="2">
        <f t="shared" si="68"/>
        <v>2088</v>
      </c>
      <c r="N746" s="2">
        <f t="shared" si="69"/>
        <v>41</v>
      </c>
      <c r="O746" s="2">
        <f t="shared" si="70"/>
        <v>437.25</v>
      </c>
      <c r="P746" s="2">
        <f t="shared" si="71"/>
        <v>874.5</v>
      </c>
    </row>
    <row r="747" spans="1:16">
      <c r="A747" s="1">
        <v>746</v>
      </c>
      <c r="B747" s="1">
        <v>20</v>
      </c>
      <c r="C747" s="1" t="s">
        <v>16</v>
      </c>
      <c r="D747" s="1">
        <v>185.3</v>
      </c>
      <c r="E747" s="1">
        <v>91.1</v>
      </c>
      <c r="F747" s="1">
        <v>2975</v>
      </c>
      <c r="G747" s="1" t="s">
        <v>21</v>
      </c>
      <c r="H747" s="1">
        <v>1.725</v>
      </c>
      <c r="I747" s="1">
        <v>1.853</v>
      </c>
      <c r="J747" s="1">
        <v>26.5318503067763</v>
      </c>
      <c r="K747" t="str">
        <f t="shared" si="66"/>
        <v>缺口过小</v>
      </c>
      <c r="L747" s="2">
        <f t="shared" si="67"/>
        <v>1974.125</v>
      </c>
      <c r="M747" s="2">
        <f t="shared" si="68"/>
        <v>3405.365625</v>
      </c>
      <c r="N747" s="2">
        <f t="shared" si="69"/>
        <v>430.365625</v>
      </c>
      <c r="O747" s="2">
        <f t="shared" si="70"/>
        <v>501.05</v>
      </c>
      <c r="P747" s="2">
        <f t="shared" si="71"/>
        <v>1002.1</v>
      </c>
    </row>
    <row r="748" spans="1:16">
      <c r="A748" s="1">
        <v>747</v>
      </c>
      <c r="B748" s="1">
        <v>23</v>
      </c>
      <c r="C748" s="1" t="s">
        <v>18</v>
      </c>
      <c r="D748" s="1">
        <v>160.8</v>
      </c>
      <c r="E748" s="1">
        <v>46.4</v>
      </c>
      <c r="F748" s="1">
        <v>1325</v>
      </c>
      <c r="G748" s="1" t="s">
        <v>20</v>
      </c>
      <c r="H748" s="1">
        <v>1.55</v>
      </c>
      <c r="I748" s="1">
        <v>1.608</v>
      </c>
      <c r="J748" s="1">
        <v>17.9451003688027</v>
      </c>
      <c r="K748" t="str">
        <f t="shared" si="66"/>
        <v>缺口过大</v>
      </c>
      <c r="L748" s="2">
        <f t="shared" si="67"/>
        <v>1193</v>
      </c>
      <c r="M748" s="2">
        <f t="shared" si="68"/>
        <v>1849.15</v>
      </c>
      <c r="N748" s="2">
        <f t="shared" si="69"/>
        <v>524.15</v>
      </c>
      <c r="O748" s="2">
        <f t="shared" si="70"/>
        <v>255.2</v>
      </c>
      <c r="P748" s="2">
        <f t="shared" si="71"/>
        <v>510.4</v>
      </c>
    </row>
    <row r="749" spans="1:16">
      <c r="A749" s="1">
        <v>748</v>
      </c>
      <c r="B749" s="1">
        <v>32</v>
      </c>
      <c r="C749" s="1" t="s">
        <v>16</v>
      </c>
      <c r="D749" s="1">
        <v>165.2</v>
      </c>
      <c r="E749" s="1">
        <v>133.6</v>
      </c>
      <c r="F749" s="1">
        <v>904</v>
      </c>
      <c r="G749" s="1" t="s">
        <v>21</v>
      </c>
      <c r="H749" s="1">
        <v>1.725</v>
      </c>
      <c r="I749" s="1">
        <v>1.652</v>
      </c>
      <c r="J749" s="1">
        <v>48.9537958245636</v>
      </c>
      <c r="K749" t="str">
        <f t="shared" si="66"/>
        <v>缺口过大</v>
      </c>
      <c r="L749" s="2">
        <f t="shared" si="67"/>
        <v>2213.5</v>
      </c>
      <c r="M749" s="2">
        <f t="shared" si="68"/>
        <v>3818.2875</v>
      </c>
      <c r="N749" s="2">
        <f t="shared" si="69"/>
        <v>2914.2875</v>
      </c>
      <c r="O749" s="2">
        <f t="shared" si="70"/>
        <v>734.8</v>
      </c>
      <c r="P749" s="2">
        <f t="shared" si="71"/>
        <v>1469.6</v>
      </c>
    </row>
    <row r="750" spans="1:16">
      <c r="A750" s="1">
        <v>749</v>
      </c>
      <c r="B750" s="1">
        <v>31</v>
      </c>
      <c r="C750" s="1" t="s">
        <v>18</v>
      </c>
      <c r="D750" s="1">
        <v>157.2</v>
      </c>
      <c r="E750" s="1">
        <v>88.1</v>
      </c>
      <c r="F750" s="1">
        <v>1315</v>
      </c>
      <c r="G750" s="1" t="s">
        <v>21</v>
      </c>
      <c r="H750" s="1">
        <v>1.725</v>
      </c>
      <c r="I750" s="1">
        <v>1.57199999999999</v>
      </c>
      <c r="J750" s="1">
        <v>35.650926843165</v>
      </c>
      <c r="K750" t="str">
        <f t="shared" si="66"/>
        <v>缺口过大</v>
      </c>
      <c r="L750" s="2">
        <f t="shared" si="67"/>
        <v>1547.5</v>
      </c>
      <c r="M750" s="2">
        <f t="shared" si="68"/>
        <v>2669.4375</v>
      </c>
      <c r="N750" s="2">
        <f t="shared" si="69"/>
        <v>1354.4375</v>
      </c>
      <c r="O750" s="2">
        <f t="shared" si="70"/>
        <v>484.55</v>
      </c>
      <c r="P750" s="2">
        <f t="shared" si="71"/>
        <v>969.1</v>
      </c>
    </row>
    <row r="751" spans="1:16">
      <c r="A751" s="1">
        <v>750</v>
      </c>
      <c r="B751" s="1">
        <v>32</v>
      </c>
      <c r="C751" s="1" t="s">
        <v>16</v>
      </c>
      <c r="D751" s="1">
        <v>169.2</v>
      </c>
      <c r="E751" s="1">
        <v>127.2</v>
      </c>
      <c r="F751" s="1">
        <v>3187</v>
      </c>
      <c r="G751" s="1" t="s">
        <v>20</v>
      </c>
      <c r="H751" s="1">
        <v>1.55</v>
      </c>
      <c r="I751" s="1">
        <v>1.692</v>
      </c>
      <c r="J751" s="1">
        <v>44.431031302919</v>
      </c>
      <c r="K751" t="str">
        <f t="shared" si="66"/>
        <v>缺口过小</v>
      </c>
      <c r="L751" s="2">
        <f t="shared" si="67"/>
        <v>2174.5</v>
      </c>
      <c r="M751" s="2">
        <f t="shared" si="68"/>
        <v>3370.475</v>
      </c>
      <c r="N751" s="2">
        <f t="shared" si="69"/>
        <v>183.475</v>
      </c>
      <c r="O751" s="2">
        <f t="shared" si="70"/>
        <v>699.6</v>
      </c>
      <c r="P751" s="2">
        <f t="shared" si="71"/>
        <v>1399.2</v>
      </c>
    </row>
    <row r="752" spans="1:16">
      <c r="A752" s="1">
        <v>751</v>
      </c>
      <c r="B752" s="1">
        <v>35</v>
      </c>
      <c r="C752" s="1" t="s">
        <v>16</v>
      </c>
      <c r="D752" s="1">
        <v>174.8</v>
      </c>
      <c r="E752" s="1">
        <v>93.6</v>
      </c>
      <c r="F752" s="1">
        <v>1868</v>
      </c>
      <c r="G752" s="1" t="s">
        <v>20</v>
      </c>
      <c r="H752" s="1">
        <v>1.55</v>
      </c>
      <c r="I752" s="1">
        <v>1.748</v>
      </c>
      <c r="J752" s="1">
        <v>30.6332441391011</v>
      </c>
      <c r="K752" t="str">
        <f t="shared" si="66"/>
        <v>缺口合适</v>
      </c>
      <c r="L752" s="2">
        <f t="shared" si="67"/>
        <v>1858.5</v>
      </c>
      <c r="M752" s="2">
        <f t="shared" si="68"/>
        <v>2880.675</v>
      </c>
      <c r="N752" s="2">
        <f t="shared" si="69"/>
        <v>1012.675</v>
      </c>
      <c r="O752" s="2">
        <f t="shared" si="70"/>
        <v>514.8</v>
      </c>
      <c r="P752" s="2">
        <f t="shared" si="71"/>
        <v>1029.6</v>
      </c>
    </row>
    <row r="753" spans="1:16">
      <c r="A753" s="1">
        <v>752</v>
      </c>
      <c r="B753" s="1">
        <v>29</v>
      </c>
      <c r="C753" s="1" t="s">
        <v>16</v>
      </c>
      <c r="D753" s="1">
        <v>169.3</v>
      </c>
      <c r="E753" s="1">
        <v>63.4</v>
      </c>
      <c r="F753" s="1">
        <v>3945</v>
      </c>
      <c r="G753" s="1" t="s">
        <v>20</v>
      </c>
      <c r="H753" s="1">
        <v>1.55</v>
      </c>
      <c r="I753" s="1">
        <v>1.693</v>
      </c>
      <c r="J753" s="1">
        <v>22.1195018297433</v>
      </c>
      <c r="K753" t="str">
        <f t="shared" si="66"/>
        <v>没有热量缺口</v>
      </c>
      <c r="L753" s="2">
        <f t="shared" si="67"/>
        <v>1552.125</v>
      </c>
      <c r="M753" s="2">
        <f t="shared" si="68"/>
        <v>2405.79375</v>
      </c>
      <c r="N753" s="2">
        <f t="shared" si="69"/>
        <v>-1539.20625</v>
      </c>
      <c r="O753" s="2">
        <f t="shared" si="70"/>
        <v>348.7</v>
      </c>
      <c r="P753" s="2">
        <f t="shared" si="71"/>
        <v>697.4</v>
      </c>
    </row>
    <row r="754" spans="1:16">
      <c r="A754" s="1">
        <v>753</v>
      </c>
      <c r="B754" s="1">
        <v>29</v>
      </c>
      <c r="C754" s="1" t="s">
        <v>18</v>
      </c>
      <c r="D754" s="1">
        <v>167.7</v>
      </c>
      <c r="E754" s="1">
        <v>67.9</v>
      </c>
      <c r="F754" s="1">
        <v>2831</v>
      </c>
      <c r="G754" s="1" t="s">
        <v>20</v>
      </c>
      <c r="H754" s="1">
        <v>1.55</v>
      </c>
      <c r="I754" s="1">
        <v>1.67699999999999</v>
      </c>
      <c r="J754" s="1">
        <v>24.1436901585838</v>
      </c>
      <c r="K754" t="str">
        <f t="shared" si="66"/>
        <v>没有热量缺口</v>
      </c>
      <c r="L754" s="2">
        <f t="shared" si="67"/>
        <v>1421.125</v>
      </c>
      <c r="M754" s="2">
        <f t="shared" si="68"/>
        <v>2202.74375</v>
      </c>
      <c r="N754" s="2">
        <f t="shared" si="69"/>
        <v>-628.25625</v>
      </c>
      <c r="O754" s="2">
        <f t="shared" si="70"/>
        <v>373.45</v>
      </c>
      <c r="P754" s="2">
        <f t="shared" si="71"/>
        <v>746.9</v>
      </c>
    </row>
    <row r="755" spans="1:16">
      <c r="A755" s="1">
        <v>754</v>
      </c>
      <c r="B755" s="1">
        <v>21</v>
      </c>
      <c r="C755" s="1" t="s">
        <v>16</v>
      </c>
      <c r="D755" s="1">
        <v>171.3</v>
      </c>
      <c r="E755" s="1">
        <v>98</v>
      </c>
      <c r="F755" s="1">
        <v>845</v>
      </c>
      <c r="G755" s="1" t="s">
        <v>21</v>
      </c>
      <c r="H755" s="1">
        <v>1.725</v>
      </c>
      <c r="I755" s="1">
        <v>1.713</v>
      </c>
      <c r="J755" s="1">
        <v>33.3972993853192</v>
      </c>
      <c r="K755" t="str">
        <f t="shared" si="66"/>
        <v>缺口过大</v>
      </c>
      <c r="L755" s="2">
        <f t="shared" si="67"/>
        <v>1950.625</v>
      </c>
      <c r="M755" s="2">
        <f t="shared" si="68"/>
        <v>3364.828125</v>
      </c>
      <c r="N755" s="2">
        <f t="shared" si="69"/>
        <v>2519.828125</v>
      </c>
      <c r="O755" s="2">
        <f t="shared" si="70"/>
        <v>539</v>
      </c>
      <c r="P755" s="2">
        <f t="shared" si="71"/>
        <v>1078</v>
      </c>
    </row>
    <row r="756" spans="1:16">
      <c r="A756" s="1">
        <v>755</v>
      </c>
      <c r="B756" s="1">
        <v>35</v>
      </c>
      <c r="C756" s="1" t="s">
        <v>18</v>
      </c>
      <c r="D756" s="1">
        <v>152.8</v>
      </c>
      <c r="E756" s="1">
        <v>99.7</v>
      </c>
      <c r="F756" s="1">
        <v>3337</v>
      </c>
      <c r="G756" s="1" t="s">
        <v>21</v>
      </c>
      <c r="H756" s="1">
        <v>1.725</v>
      </c>
      <c r="I756" s="1">
        <v>1.528</v>
      </c>
      <c r="J756" s="1">
        <v>42.7020229708615</v>
      </c>
      <c r="K756" t="str">
        <f t="shared" si="66"/>
        <v>没有热量缺口</v>
      </c>
      <c r="L756" s="2">
        <f t="shared" si="67"/>
        <v>1616</v>
      </c>
      <c r="M756" s="2">
        <f t="shared" si="68"/>
        <v>2787.6</v>
      </c>
      <c r="N756" s="2">
        <f t="shared" si="69"/>
        <v>-549.4</v>
      </c>
      <c r="O756" s="2">
        <f t="shared" si="70"/>
        <v>548.35</v>
      </c>
      <c r="P756" s="2">
        <f t="shared" si="71"/>
        <v>1096.7</v>
      </c>
    </row>
    <row r="757" spans="1:16">
      <c r="A757" s="1">
        <v>756</v>
      </c>
      <c r="B757" s="1">
        <v>32</v>
      </c>
      <c r="C757" s="1" t="s">
        <v>18</v>
      </c>
      <c r="D757" s="1">
        <v>166.5</v>
      </c>
      <c r="E757" s="1">
        <v>128.6</v>
      </c>
      <c r="F757" s="1">
        <v>3468</v>
      </c>
      <c r="G757" s="1" t="s">
        <v>20</v>
      </c>
      <c r="H757" s="1">
        <v>1.55</v>
      </c>
      <c r="I757" s="1">
        <v>1.665</v>
      </c>
      <c r="J757" s="1">
        <v>46.3887310734157</v>
      </c>
      <c r="K757" t="str">
        <f t="shared" si="66"/>
        <v>没有热量缺口</v>
      </c>
      <c r="L757" s="2">
        <f t="shared" si="67"/>
        <v>2005.625</v>
      </c>
      <c r="M757" s="2">
        <f t="shared" si="68"/>
        <v>3108.71875</v>
      </c>
      <c r="N757" s="2">
        <f t="shared" si="69"/>
        <v>-359.28125</v>
      </c>
      <c r="O757" s="2">
        <f t="shared" si="70"/>
        <v>707.3</v>
      </c>
      <c r="P757" s="2">
        <f t="shared" si="71"/>
        <v>1414.6</v>
      </c>
    </row>
    <row r="758" spans="1:16">
      <c r="A758" s="1">
        <v>757</v>
      </c>
      <c r="B758" s="1">
        <v>26</v>
      </c>
      <c r="C758" s="1" t="s">
        <v>18</v>
      </c>
      <c r="D758" s="1">
        <v>158.5</v>
      </c>
      <c r="E758" s="1">
        <v>60.3</v>
      </c>
      <c r="F758" s="1">
        <v>2361</v>
      </c>
      <c r="G758" s="1" t="s">
        <v>21</v>
      </c>
      <c r="H758" s="1">
        <v>1.725</v>
      </c>
      <c r="I758" s="1">
        <v>1.585</v>
      </c>
      <c r="J758" s="1">
        <v>24.0026271532207</v>
      </c>
      <c r="K758" t="str">
        <f t="shared" si="66"/>
        <v>没有热量缺口</v>
      </c>
      <c r="L758" s="2">
        <f t="shared" si="67"/>
        <v>1302.625</v>
      </c>
      <c r="M758" s="2">
        <f t="shared" si="68"/>
        <v>2247.028125</v>
      </c>
      <c r="N758" s="2">
        <f t="shared" si="69"/>
        <v>-113.971875</v>
      </c>
      <c r="O758" s="2">
        <f t="shared" si="70"/>
        <v>331.65</v>
      </c>
      <c r="P758" s="2">
        <f t="shared" si="71"/>
        <v>663.3</v>
      </c>
    </row>
    <row r="759" spans="1:16">
      <c r="A759" s="1">
        <v>758</v>
      </c>
      <c r="B759" s="1">
        <v>31</v>
      </c>
      <c r="C759" s="1" t="s">
        <v>18</v>
      </c>
      <c r="D759" s="1">
        <v>163.6</v>
      </c>
      <c r="E759" s="1">
        <v>84</v>
      </c>
      <c r="F759" s="1">
        <v>1979</v>
      </c>
      <c r="G759" s="1" t="s">
        <v>17</v>
      </c>
      <c r="H759" s="1">
        <v>1.375</v>
      </c>
      <c r="I759" s="1">
        <v>1.636</v>
      </c>
      <c r="J759" s="1">
        <v>31.3843174060413</v>
      </c>
      <c r="K759" t="str">
        <f t="shared" si="66"/>
        <v>缺口过小</v>
      </c>
      <c r="L759" s="2">
        <f t="shared" si="67"/>
        <v>1546.5</v>
      </c>
      <c r="M759" s="2">
        <f t="shared" si="68"/>
        <v>2126.4375</v>
      </c>
      <c r="N759" s="2">
        <f t="shared" si="69"/>
        <v>147.4375</v>
      </c>
      <c r="O759" s="2">
        <f t="shared" si="70"/>
        <v>462</v>
      </c>
      <c r="P759" s="2">
        <f t="shared" si="71"/>
        <v>924</v>
      </c>
    </row>
    <row r="760" spans="1:16">
      <c r="A760" s="1">
        <v>759</v>
      </c>
      <c r="B760" s="1">
        <v>34</v>
      </c>
      <c r="C760" s="1" t="s">
        <v>16</v>
      </c>
      <c r="D760" s="1">
        <v>173.9</v>
      </c>
      <c r="E760" s="1">
        <v>92</v>
      </c>
      <c r="F760" s="1">
        <v>1700</v>
      </c>
      <c r="G760" s="1" t="s">
        <v>17</v>
      </c>
      <c r="H760" s="1">
        <v>1.375</v>
      </c>
      <c r="I760" s="1">
        <v>1.739</v>
      </c>
      <c r="J760" s="1">
        <v>30.4220631383466</v>
      </c>
      <c r="K760" t="str">
        <f t="shared" si="66"/>
        <v>缺口合适</v>
      </c>
      <c r="L760" s="2">
        <f t="shared" si="67"/>
        <v>1841.875</v>
      </c>
      <c r="M760" s="2">
        <f t="shared" si="68"/>
        <v>2532.578125</v>
      </c>
      <c r="N760" s="2">
        <f t="shared" si="69"/>
        <v>832.578125</v>
      </c>
      <c r="O760" s="2">
        <f t="shared" si="70"/>
        <v>506</v>
      </c>
      <c r="P760" s="2">
        <f t="shared" si="71"/>
        <v>1012</v>
      </c>
    </row>
    <row r="761" spans="1:16">
      <c r="A761" s="1">
        <v>760</v>
      </c>
      <c r="B761" s="1">
        <v>24</v>
      </c>
      <c r="C761" s="1" t="s">
        <v>18</v>
      </c>
      <c r="D761" s="1">
        <v>167.2</v>
      </c>
      <c r="E761" s="1">
        <v>41.7</v>
      </c>
      <c r="F761" s="1">
        <v>3215</v>
      </c>
      <c r="G761" s="1" t="s">
        <v>21</v>
      </c>
      <c r="H761" s="1">
        <v>1.725</v>
      </c>
      <c r="I761" s="1">
        <v>1.672</v>
      </c>
      <c r="J761" s="1">
        <v>14.9163824088276</v>
      </c>
      <c r="K761" t="str">
        <f t="shared" si="66"/>
        <v>没有热量缺口</v>
      </c>
      <c r="L761" s="2">
        <f t="shared" si="67"/>
        <v>1181</v>
      </c>
      <c r="M761" s="2">
        <f t="shared" si="68"/>
        <v>2037.225</v>
      </c>
      <c r="N761" s="2">
        <f t="shared" si="69"/>
        <v>-1177.775</v>
      </c>
      <c r="O761" s="2">
        <f t="shared" si="70"/>
        <v>229.35</v>
      </c>
      <c r="P761" s="2">
        <f t="shared" si="71"/>
        <v>458.7</v>
      </c>
    </row>
    <row r="762" spans="1:16">
      <c r="A762" s="1">
        <v>761</v>
      </c>
      <c r="B762" s="1">
        <v>26</v>
      </c>
      <c r="C762" s="1" t="s">
        <v>16</v>
      </c>
      <c r="D762" s="1">
        <v>177.4</v>
      </c>
      <c r="E762" s="1">
        <v>74.2</v>
      </c>
      <c r="F762" s="1">
        <v>1571</v>
      </c>
      <c r="G762" s="1" t="s">
        <v>19</v>
      </c>
      <c r="H762" s="1">
        <v>1.2</v>
      </c>
      <c r="I762" s="1">
        <v>1.774</v>
      </c>
      <c r="J762" s="1">
        <v>23.5774414091048</v>
      </c>
      <c r="K762" t="str">
        <f t="shared" si="66"/>
        <v>缺口合适</v>
      </c>
      <c r="L762" s="2">
        <f t="shared" si="67"/>
        <v>1725.75</v>
      </c>
      <c r="M762" s="2">
        <f t="shared" si="68"/>
        <v>2070.9</v>
      </c>
      <c r="N762" s="2">
        <f t="shared" si="69"/>
        <v>499.9</v>
      </c>
      <c r="O762" s="2">
        <f t="shared" si="70"/>
        <v>408.1</v>
      </c>
      <c r="P762" s="2">
        <f t="shared" si="71"/>
        <v>816.2</v>
      </c>
    </row>
    <row r="763" spans="1:16">
      <c r="A763" s="1">
        <v>762</v>
      </c>
      <c r="B763" s="1">
        <v>26</v>
      </c>
      <c r="C763" s="1" t="s">
        <v>18</v>
      </c>
      <c r="D763" s="1">
        <v>160.8</v>
      </c>
      <c r="E763" s="1">
        <v>142.3</v>
      </c>
      <c r="F763" s="1">
        <v>1553</v>
      </c>
      <c r="G763" s="1" t="s">
        <v>20</v>
      </c>
      <c r="H763" s="1">
        <v>1.55</v>
      </c>
      <c r="I763" s="1">
        <v>1.608</v>
      </c>
      <c r="J763" s="1">
        <v>55.0342194500136</v>
      </c>
      <c r="K763" t="str">
        <f t="shared" si="66"/>
        <v>缺口过大</v>
      </c>
      <c r="L763" s="2">
        <f t="shared" si="67"/>
        <v>2137</v>
      </c>
      <c r="M763" s="2">
        <f t="shared" si="68"/>
        <v>3312.35</v>
      </c>
      <c r="N763" s="2">
        <f t="shared" si="69"/>
        <v>1759.35</v>
      </c>
      <c r="O763" s="2">
        <f t="shared" si="70"/>
        <v>782.65</v>
      </c>
      <c r="P763" s="2">
        <f t="shared" si="71"/>
        <v>1565.3</v>
      </c>
    </row>
    <row r="764" spans="1:16">
      <c r="A764" s="1">
        <v>763</v>
      </c>
      <c r="B764" s="1">
        <v>32</v>
      </c>
      <c r="C764" s="1" t="s">
        <v>18</v>
      </c>
      <c r="D764" s="1">
        <v>164.7</v>
      </c>
      <c r="E764" s="1">
        <v>86.2</v>
      </c>
      <c r="F764" s="1">
        <v>2590</v>
      </c>
      <c r="G764" s="1" t="s">
        <v>20</v>
      </c>
      <c r="H764" s="1">
        <v>1.55</v>
      </c>
      <c r="I764" s="1">
        <v>1.64699999999999</v>
      </c>
      <c r="J764" s="1">
        <v>31.7775248847143</v>
      </c>
      <c r="K764" t="str">
        <f t="shared" si="66"/>
        <v>没有热量缺口</v>
      </c>
      <c r="L764" s="2">
        <f t="shared" si="67"/>
        <v>1570.375</v>
      </c>
      <c r="M764" s="2">
        <f t="shared" si="68"/>
        <v>2434.08125</v>
      </c>
      <c r="N764" s="2">
        <f t="shared" si="69"/>
        <v>-155.91875</v>
      </c>
      <c r="O764" s="2">
        <f t="shared" si="70"/>
        <v>474.1</v>
      </c>
      <c r="P764" s="2">
        <f t="shared" si="71"/>
        <v>948.2</v>
      </c>
    </row>
    <row r="765" spans="1:16">
      <c r="A765" s="1">
        <v>764</v>
      </c>
      <c r="B765" s="1">
        <v>27</v>
      </c>
      <c r="C765" s="1" t="s">
        <v>16</v>
      </c>
      <c r="D765" s="1">
        <v>180.2</v>
      </c>
      <c r="E765" s="1">
        <v>61.4</v>
      </c>
      <c r="F765" s="1">
        <v>1934</v>
      </c>
      <c r="G765" s="1" t="s">
        <v>20</v>
      </c>
      <c r="H765" s="1">
        <v>1.55</v>
      </c>
      <c r="I765" s="1">
        <v>1.80199999999999</v>
      </c>
      <c r="J765" s="1">
        <v>18.9085748847316</v>
      </c>
      <c r="K765" t="str">
        <f t="shared" si="66"/>
        <v>缺口合适</v>
      </c>
      <c r="L765" s="2">
        <f t="shared" si="67"/>
        <v>1610.25</v>
      </c>
      <c r="M765" s="2">
        <f t="shared" si="68"/>
        <v>2495.8875</v>
      </c>
      <c r="N765" s="2">
        <f t="shared" si="69"/>
        <v>561.8875</v>
      </c>
      <c r="O765" s="2">
        <f t="shared" si="70"/>
        <v>337.7</v>
      </c>
      <c r="P765" s="2">
        <f t="shared" si="71"/>
        <v>675.4</v>
      </c>
    </row>
    <row r="766" spans="1:16">
      <c r="A766" s="1">
        <v>765</v>
      </c>
      <c r="B766" s="1">
        <v>33</v>
      </c>
      <c r="C766" s="1" t="s">
        <v>18</v>
      </c>
      <c r="D766" s="1">
        <v>152.9</v>
      </c>
      <c r="E766" s="1">
        <v>66.3</v>
      </c>
      <c r="F766" s="1">
        <v>2477</v>
      </c>
      <c r="G766" s="1" t="s">
        <v>21</v>
      </c>
      <c r="H766" s="1">
        <v>1.725</v>
      </c>
      <c r="I766" s="1">
        <v>1.529</v>
      </c>
      <c r="J766" s="1">
        <v>28.3594992131629</v>
      </c>
      <c r="K766" t="str">
        <f t="shared" si="66"/>
        <v>没有热量缺口</v>
      </c>
      <c r="L766" s="2">
        <f t="shared" si="67"/>
        <v>1292.625</v>
      </c>
      <c r="M766" s="2">
        <f t="shared" si="68"/>
        <v>2229.778125</v>
      </c>
      <c r="N766" s="2">
        <f t="shared" si="69"/>
        <v>-247.221875</v>
      </c>
      <c r="O766" s="2">
        <f t="shared" si="70"/>
        <v>364.65</v>
      </c>
      <c r="P766" s="2">
        <f t="shared" si="71"/>
        <v>729.3</v>
      </c>
    </row>
    <row r="767" spans="1:16">
      <c r="A767" s="1">
        <v>766</v>
      </c>
      <c r="B767" s="1">
        <v>30</v>
      </c>
      <c r="C767" s="1" t="s">
        <v>18</v>
      </c>
      <c r="D767" s="1">
        <v>164.7</v>
      </c>
      <c r="E767" s="1">
        <v>62.2</v>
      </c>
      <c r="F767" s="1">
        <v>2811</v>
      </c>
      <c r="G767" s="1" t="s">
        <v>19</v>
      </c>
      <c r="H767" s="1">
        <v>1.2</v>
      </c>
      <c r="I767" s="1">
        <v>1.64699999999999</v>
      </c>
      <c r="J767" s="1">
        <v>22.9299541511511</v>
      </c>
      <c r="K767" t="str">
        <f t="shared" si="66"/>
        <v>没有热量缺口</v>
      </c>
      <c r="L767" s="2">
        <f t="shared" si="67"/>
        <v>1340.375</v>
      </c>
      <c r="M767" s="2">
        <f t="shared" si="68"/>
        <v>1608.45</v>
      </c>
      <c r="N767" s="2">
        <f t="shared" si="69"/>
        <v>-1202.55</v>
      </c>
      <c r="O767" s="2">
        <f t="shared" si="70"/>
        <v>342.1</v>
      </c>
      <c r="P767" s="2">
        <f t="shared" si="71"/>
        <v>684.2</v>
      </c>
    </row>
    <row r="768" spans="1:16">
      <c r="A768" s="1">
        <v>767</v>
      </c>
      <c r="B768" s="1">
        <v>27</v>
      </c>
      <c r="C768" s="1" t="s">
        <v>16</v>
      </c>
      <c r="D768" s="1">
        <v>185.3</v>
      </c>
      <c r="E768" s="1">
        <v>99.6</v>
      </c>
      <c r="F768" s="1">
        <v>2650</v>
      </c>
      <c r="G768" s="1" t="s">
        <v>21</v>
      </c>
      <c r="H768" s="1">
        <v>1.725</v>
      </c>
      <c r="I768" s="1">
        <v>1.853</v>
      </c>
      <c r="J768" s="1">
        <v>29.0073796987368</v>
      </c>
      <c r="K768" t="str">
        <f t="shared" si="66"/>
        <v>缺口合适</v>
      </c>
      <c r="L768" s="2">
        <f t="shared" si="67"/>
        <v>2024.125</v>
      </c>
      <c r="M768" s="2">
        <f t="shared" si="68"/>
        <v>3491.615625</v>
      </c>
      <c r="N768" s="2">
        <f t="shared" si="69"/>
        <v>841.615625</v>
      </c>
      <c r="O768" s="2">
        <f t="shared" si="70"/>
        <v>547.8</v>
      </c>
      <c r="P768" s="2">
        <f t="shared" si="71"/>
        <v>1095.6</v>
      </c>
    </row>
    <row r="769" spans="1:16">
      <c r="A769" s="1">
        <v>768</v>
      </c>
      <c r="B769" s="1">
        <v>33</v>
      </c>
      <c r="C769" s="1" t="s">
        <v>18</v>
      </c>
      <c r="D769" s="1">
        <v>152.9</v>
      </c>
      <c r="E769" s="1">
        <v>101.7</v>
      </c>
      <c r="F769" s="1">
        <v>737</v>
      </c>
      <c r="G769" s="1" t="s">
        <v>21</v>
      </c>
      <c r="H769" s="1">
        <v>1.725</v>
      </c>
      <c r="I769" s="1">
        <v>1.529</v>
      </c>
      <c r="J769" s="1">
        <v>43.5016752636299</v>
      </c>
      <c r="K769" t="str">
        <f t="shared" si="66"/>
        <v>缺口过大</v>
      </c>
      <c r="L769" s="2">
        <f t="shared" si="67"/>
        <v>1646.625</v>
      </c>
      <c r="M769" s="2">
        <f t="shared" si="68"/>
        <v>2840.428125</v>
      </c>
      <c r="N769" s="2">
        <f t="shared" si="69"/>
        <v>2103.428125</v>
      </c>
      <c r="O769" s="2">
        <f t="shared" si="70"/>
        <v>559.35</v>
      </c>
      <c r="P769" s="2">
        <f t="shared" si="71"/>
        <v>1118.7</v>
      </c>
    </row>
    <row r="770" spans="1:16">
      <c r="A770" s="1">
        <v>769</v>
      </c>
      <c r="B770" s="1">
        <v>26</v>
      </c>
      <c r="C770" s="1" t="s">
        <v>18</v>
      </c>
      <c r="D770" s="1">
        <v>180.9</v>
      </c>
      <c r="E770" s="1">
        <v>69.9</v>
      </c>
      <c r="F770" s="1">
        <v>1969</v>
      </c>
      <c r="G770" s="1" t="s">
        <v>20</v>
      </c>
      <c r="H770" s="1">
        <v>1.55</v>
      </c>
      <c r="I770" s="1">
        <v>1.809</v>
      </c>
      <c r="J770" s="1">
        <v>21.3599406688686</v>
      </c>
      <c r="K770" t="str">
        <f t="shared" ref="K770:K801" si="72">IF(N770&lt;=0,"没有热量缺口",IF(N770&lt;O770,"缺口过小",IF(N770&lt;=P770,"缺口合适","缺口过大")))</f>
        <v>缺口合适</v>
      </c>
      <c r="L770" s="2">
        <f t="shared" ref="L770:L801" si="73">IF(C770="male",10*E770+6.25*D770-5*B770+5,10*E770+6.25*D770-5*B770-161)</f>
        <v>1538.625</v>
      </c>
      <c r="M770" s="2">
        <f t="shared" ref="M770:M801" si="74">L770*H770</f>
        <v>2384.86875</v>
      </c>
      <c r="N770" s="2">
        <f t="shared" ref="N770:N801" si="75">M770-F770</f>
        <v>415.86875</v>
      </c>
      <c r="O770" s="2">
        <f t="shared" ref="O770:O801" si="76">E770*0.005*7700/7</f>
        <v>384.45</v>
      </c>
      <c r="P770" s="2">
        <f t="shared" ref="P770:P801" si="77">E770*0.01*7700/7</f>
        <v>768.9</v>
      </c>
    </row>
    <row r="771" spans="1:16">
      <c r="A771" s="1">
        <v>770</v>
      </c>
      <c r="B771" s="1">
        <v>29</v>
      </c>
      <c r="C771" s="1" t="s">
        <v>16</v>
      </c>
      <c r="D771" s="1">
        <v>169.2</v>
      </c>
      <c r="E771" s="1">
        <v>102.4</v>
      </c>
      <c r="F771" s="1">
        <v>2056</v>
      </c>
      <c r="G771" s="1" t="s">
        <v>17</v>
      </c>
      <c r="H771" s="1">
        <v>1.375</v>
      </c>
      <c r="I771" s="1">
        <v>1.692</v>
      </c>
      <c r="J771" s="1">
        <v>35.768377401092</v>
      </c>
      <c r="K771" t="str">
        <f t="shared" si="72"/>
        <v>缺口合适</v>
      </c>
      <c r="L771" s="2">
        <f t="shared" si="73"/>
        <v>1941.5</v>
      </c>
      <c r="M771" s="2">
        <f t="shared" si="74"/>
        <v>2669.5625</v>
      </c>
      <c r="N771" s="2">
        <f t="shared" si="75"/>
        <v>613.5625</v>
      </c>
      <c r="O771" s="2">
        <f t="shared" si="76"/>
        <v>563.2</v>
      </c>
      <c r="P771" s="2">
        <f t="shared" si="77"/>
        <v>1126.4</v>
      </c>
    </row>
    <row r="772" spans="1:16">
      <c r="A772" s="1">
        <v>771</v>
      </c>
      <c r="B772" s="1">
        <v>28</v>
      </c>
      <c r="C772" s="1" t="s">
        <v>16</v>
      </c>
      <c r="D772" s="1">
        <v>180.8</v>
      </c>
      <c r="E772" s="1">
        <v>73.5</v>
      </c>
      <c r="F772" s="1">
        <v>1866</v>
      </c>
      <c r="G772" s="1" t="s">
        <v>20</v>
      </c>
      <c r="H772" s="1">
        <v>1.55</v>
      </c>
      <c r="I772" s="1">
        <v>1.808</v>
      </c>
      <c r="J772" s="1">
        <v>22.4848754796773</v>
      </c>
      <c r="K772" t="str">
        <f t="shared" si="72"/>
        <v>缺口过大</v>
      </c>
      <c r="L772" s="2">
        <f t="shared" si="73"/>
        <v>1730</v>
      </c>
      <c r="M772" s="2">
        <f t="shared" si="74"/>
        <v>2681.5</v>
      </c>
      <c r="N772" s="2">
        <f t="shared" si="75"/>
        <v>815.5</v>
      </c>
      <c r="O772" s="2">
        <f t="shared" si="76"/>
        <v>404.25</v>
      </c>
      <c r="P772" s="2">
        <f t="shared" si="77"/>
        <v>808.5</v>
      </c>
    </row>
    <row r="773" spans="1:16">
      <c r="A773" s="1">
        <v>772</v>
      </c>
      <c r="B773" s="1">
        <v>24</v>
      </c>
      <c r="C773" s="1" t="s">
        <v>16</v>
      </c>
      <c r="D773" s="1">
        <v>194.1</v>
      </c>
      <c r="E773" s="1">
        <v>77.9</v>
      </c>
      <c r="F773" s="1">
        <v>2292</v>
      </c>
      <c r="G773" s="1" t="s">
        <v>21</v>
      </c>
      <c r="H773" s="1">
        <v>1.725</v>
      </c>
      <c r="I773" s="1">
        <v>1.94099999999999</v>
      </c>
      <c r="J773" s="1">
        <v>20.6769456833359</v>
      </c>
      <c r="K773" t="str">
        <f t="shared" si="72"/>
        <v>缺口过大</v>
      </c>
      <c r="L773" s="2">
        <f t="shared" si="73"/>
        <v>1877.125</v>
      </c>
      <c r="M773" s="2">
        <f t="shared" si="74"/>
        <v>3238.040625</v>
      </c>
      <c r="N773" s="2">
        <f t="shared" si="75"/>
        <v>946.040625</v>
      </c>
      <c r="O773" s="2">
        <f t="shared" si="76"/>
        <v>428.45</v>
      </c>
      <c r="P773" s="2">
        <f t="shared" si="77"/>
        <v>856.9</v>
      </c>
    </row>
    <row r="774" spans="1:16">
      <c r="A774" s="1">
        <v>773</v>
      </c>
      <c r="B774" s="1">
        <v>34</v>
      </c>
      <c r="C774" s="1" t="s">
        <v>18</v>
      </c>
      <c r="D774" s="1">
        <v>166.4</v>
      </c>
      <c r="E774" s="1">
        <v>85.1</v>
      </c>
      <c r="F774" s="1">
        <v>1597</v>
      </c>
      <c r="G774" s="1" t="s">
        <v>17</v>
      </c>
      <c r="H774" s="1">
        <v>1.375</v>
      </c>
      <c r="I774" s="1">
        <v>1.664</v>
      </c>
      <c r="J774" s="1">
        <v>30.734270987426</v>
      </c>
      <c r="K774" t="str">
        <f t="shared" si="72"/>
        <v>缺口合适</v>
      </c>
      <c r="L774" s="2">
        <f t="shared" si="73"/>
        <v>1560</v>
      </c>
      <c r="M774" s="2">
        <f t="shared" si="74"/>
        <v>2145</v>
      </c>
      <c r="N774" s="2">
        <f t="shared" si="75"/>
        <v>548</v>
      </c>
      <c r="O774" s="2">
        <f t="shared" si="76"/>
        <v>468.05</v>
      </c>
      <c r="P774" s="2">
        <f t="shared" si="77"/>
        <v>936.1</v>
      </c>
    </row>
    <row r="775" spans="1:16">
      <c r="A775" s="1">
        <v>774</v>
      </c>
      <c r="B775" s="1">
        <v>24</v>
      </c>
      <c r="C775" s="1" t="s">
        <v>16</v>
      </c>
      <c r="D775" s="1">
        <v>175.7</v>
      </c>
      <c r="E775" s="1">
        <v>120.5</v>
      </c>
      <c r="F775" s="1">
        <v>1641</v>
      </c>
      <c r="G775" s="1" t="s">
        <v>19</v>
      </c>
      <c r="H775" s="1">
        <v>1.2</v>
      </c>
      <c r="I775" s="1">
        <v>1.757</v>
      </c>
      <c r="J775" s="1">
        <v>39.0340418956744</v>
      </c>
      <c r="K775" t="str">
        <f t="shared" si="72"/>
        <v>缺口合适</v>
      </c>
      <c r="L775" s="2">
        <f t="shared" si="73"/>
        <v>2188.125</v>
      </c>
      <c r="M775" s="2">
        <f t="shared" si="74"/>
        <v>2625.75</v>
      </c>
      <c r="N775" s="2">
        <f t="shared" si="75"/>
        <v>984.75</v>
      </c>
      <c r="O775" s="2">
        <f t="shared" si="76"/>
        <v>662.75</v>
      </c>
      <c r="P775" s="2">
        <f t="shared" si="77"/>
        <v>1325.5</v>
      </c>
    </row>
    <row r="776" spans="1:16">
      <c r="A776" s="1">
        <v>775</v>
      </c>
      <c r="B776" s="1">
        <v>35</v>
      </c>
      <c r="C776" s="1" t="s">
        <v>18</v>
      </c>
      <c r="D776" s="1">
        <v>155.8</v>
      </c>
      <c r="E776" s="1">
        <v>71.1</v>
      </c>
      <c r="F776" s="1">
        <v>1467</v>
      </c>
      <c r="G776" s="1" t="s">
        <v>19</v>
      </c>
      <c r="H776" s="1">
        <v>1.2</v>
      </c>
      <c r="I776" s="1">
        <v>1.558</v>
      </c>
      <c r="J776" s="1">
        <v>29.2910334008414</v>
      </c>
      <c r="K776" t="str">
        <f t="shared" si="72"/>
        <v>缺口过小</v>
      </c>
      <c r="L776" s="2">
        <f t="shared" si="73"/>
        <v>1348.75</v>
      </c>
      <c r="M776" s="2">
        <f t="shared" si="74"/>
        <v>1618.5</v>
      </c>
      <c r="N776" s="2">
        <f t="shared" si="75"/>
        <v>151.5</v>
      </c>
      <c r="O776" s="2">
        <f t="shared" si="76"/>
        <v>391.05</v>
      </c>
      <c r="P776" s="2">
        <f t="shared" si="77"/>
        <v>782.1</v>
      </c>
    </row>
    <row r="777" spans="1:16">
      <c r="A777" s="1">
        <v>776</v>
      </c>
      <c r="B777" s="1">
        <v>33</v>
      </c>
      <c r="C777" s="1" t="s">
        <v>16</v>
      </c>
      <c r="D777" s="1">
        <v>183.5</v>
      </c>
      <c r="E777" s="1">
        <v>119.9</v>
      </c>
      <c r="F777" s="1">
        <v>1923</v>
      </c>
      <c r="G777" s="1" t="s">
        <v>21</v>
      </c>
      <c r="H777" s="1">
        <v>1.725</v>
      </c>
      <c r="I777" s="1">
        <v>1.835</v>
      </c>
      <c r="J777" s="1">
        <v>35.6079561062893</v>
      </c>
      <c r="K777" t="str">
        <f t="shared" si="72"/>
        <v>缺口过大</v>
      </c>
      <c r="L777" s="2">
        <f t="shared" si="73"/>
        <v>2185.875</v>
      </c>
      <c r="M777" s="2">
        <f t="shared" si="74"/>
        <v>3770.634375</v>
      </c>
      <c r="N777" s="2">
        <f t="shared" si="75"/>
        <v>1847.634375</v>
      </c>
      <c r="O777" s="2">
        <f t="shared" si="76"/>
        <v>659.45</v>
      </c>
      <c r="P777" s="2">
        <f t="shared" si="77"/>
        <v>1318.9</v>
      </c>
    </row>
    <row r="778" spans="1:16">
      <c r="A778" s="1">
        <v>777</v>
      </c>
      <c r="B778" s="1">
        <v>25</v>
      </c>
      <c r="C778" s="1" t="s">
        <v>16</v>
      </c>
      <c r="D778" s="1">
        <v>191.7</v>
      </c>
      <c r="E778" s="1">
        <v>98.5</v>
      </c>
      <c r="F778" s="1">
        <v>1628</v>
      </c>
      <c r="G778" s="1" t="s">
        <v>21</v>
      </c>
      <c r="H778" s="1">
        <v>1.725</v>
      </c>
      <c r="I778" s="1">
        <v>1.91699999999999</v>
      </c>
      <c r="J778" s="1">
        <v>26.8035306644636</v>
      </c>
      <c r="K778" t="str">
        <f t="shared" si="72"/>
        <v>缺口过大</v>
      </c>
      <c r="L778" s="2">
        <f t="shared" si="73"/>
        <v>2063.125</v>
      </c>
      <c r="M778" s="2">
        <f t="shared" si="74"/>
        <v>3558.890625</v>
      </c>
      <c r="N778" s="2">
        <f t="shared" si="75"/>
        <v>1930.890625</v>
      </c>
      <c r="O778" s="2">
        <f t="shared" si="76"/>
        <v>541.75</v>
      </c>
      <c r="P778" s="2">
        <f t="shared" si="77"/>
        <v>1083.5</v>
      </c>
    </row>
    <row r="779" spans="1:16">
      <c r="A779" s="1">
        <v>778</v>
      </c>
      <c r="B779" s="1">
        <v>30</v>
      </c>
      <c r="C779" s="1" t="s">
        <v>18</v>
      </c>
      <c r="D779" s="1">
        <v>165.7</v>
      </c>
      <c r="E779" s="1">
        <v>63.5</v>
      </c>
      <c r="F779" s="1">
        <v>1476</v>
      </c>
      <c r="G779" s="1" t="s">
        <v>21</v>
      </c>
      <c r="H779" s="1">
        <v>1.725</v>
      </c>
      <c r="I779" s="1">
        <v>1.65699999999999</v>
      </c>
      <c r="J779" s="1">
        <v>23.1275010024952</v>
      </c>
      <c r="K779" t="str">
        <f t="shared" si="72"/>
        <v>缺口过大</v>
      </c>
      <c r="L779" s="2">
        <f t="shared" si="73"/>
        <v>1359.625</v>
      </c>
      <c r="M779" s="2">
        <f t="shared" si="74"/>
        <v>2345.353125</v>
      </c>
      <c r="N779" s="2">
        <f t="shared" si="75"/>
        <v>869.353125</v>
      </c>
      <c r="O779" s="2">
        <f t="shared" si="76"/>
        <v>349.25</v>
      </c>
      <c r="P779" s="2">
        <f t="shared" si="77"/>
        <v>698.5</v>
      </c>
    </row>
    <row r="780" spans="1:16">
      <c r="A780" s="1">
        <v>779</v>
      </c>
      <c r="B780" s="1">
        <v>35</v>
      </c>
      <c r="C780" s="1" t="s">
        <v>16</v>
      </c>
      <c r="D780" s="1">
        <v>173.2</v>
      </c>
      <c r="E780" s="1">
        <v>71.1</v>
      </c>
      <c r="F780" s="1">
        <v>1932</v>
      </c>
      <c r="G780" s="1" t="s">
        <v>21</v>
      </c>
      <c r="H780" s="1">
        <v>1.725</v>
      </c>
      <c r="I780" s="1">
        <v>1.732</v>
      </c>
      <c r="J780" s="1">
        <v>23.7013904815749</v>
      </c>
      <c r="K780" t="str">
        <f t="shared" si="72"/>
        <v>缺口过大</v>
      </c>
      <c r="L780" s="2">
        <f t="shared" si="73"/>
        <v>1623.5</v>
      </c>
      <c r="M780" s="2">
        <f t="shared" si="74"/>
        <v>2800.5375</v>
      </c>
      <c r="N780" s="2">
        <f t="shared" si="75"/>
        <v>868.5375</v>
      </c>
      <c r="O780" s="2">
        <f t="shared" si="76"/>
        <v>391.05</v>
      </c>
      <c r="P780" s="2">
        <f t="shared" si="77"/>
        <v>782.1</v>
      </c>
    </row>
    <row r="781" spans="1:16">
      <c r="A781" s="1">
        <v>780</v>
      </c>
      <c r="B781" s="1">
        <v>27</v>
      </c>
      <c r="C781" s="1" t="s">
        <v>18</v>
      </c>
      <c r="D781" s="1">
        <v>156.5</v>
      </c>
      <c r="E781" s="1">
        <v>54.8</v>
      </c>
      <c r="F781" s="1">
        <v>806</v>
      </c>
      <c r="G781" s="1" t="s">
        <v>21</v>
      </c>
      <c r="H781" s="1">
        <v>1.725</v>
      </c>
      <c r="I781" s="1">
        <v>1.565</v>
      </c>
      <c r="J781" s="1">
        <v>22.3744245628719</v>
      </c>
      <c r="K781" t="str">
        <f t="shared" si="72"/>
        <v>缺口过大</v>
      </c>
      <c r="L781" s="2">
        <f t="shared" si="73"/>
        <v>1230.125</v>
      </c>
      <c r="M781" s="2">
        <f t="shared" si="74"/>
        <v>2121.965625</v>
      </c>
      <c r="N781" s="2">
        <f t="shared" si="75"/>
        <v>1315.965625</v>
      </c>
      <c r="O781" s="2">
        <f t="shared" si="76"/>
        <v>301.4</v>
      </c>
      <c r="P781" s="2">
        <f t="shared" si="77"/>
        <v>602.8</v>
      </c>
    </row>
    <row r="782" spans="1:16">
      <c r="A782" s="1">
        <v>781</v>
      </c>
      <c r="B782" s="1">
        <v>34</v>
      </c>
      <c r="C782" s="1" t="s">
        <v>16</v>
      </c>
      <c r="D782" s="1">
        <v>158.2</v>
      </c>
      <c r="E782" s="1">
        <v>63</v>
      </c>
      <c r="F782" s="1">
        <v>3332</v>
      </c>
      <c r="G782" s="1" t="s">
        <v>17</v>
      </c>
      <c r="H782" s="1">
        <v>1.375</v>
      </c>
      <c r="I782" s="1">
        <v>1.58199999999999</v>
      </c>
      <c r="J782" s="1">
        <v>25.1725719655863</v>
      </c>
      <c r="K782" t="str">
        <f t="shared" si="72"/>
        <v>没有热量缺口</v>
      </c>
      <c r="L782" s="2">
        <f t="shared" si="73"/>
        <v>1453.75</v>
      </c>
      <c r="M782" s="2">
        <f t="shared" si="74"/>
        <v>1998.90625</v>
      </c>
      <c r="N782" s="2">
        <f t="shared" si="75"/>
        <v>-1333.09375</v>
      </c>
      <c r="O782" s="2">
        <f t="shared" si="76"/>
        <v>346.5</v>
      </c>
      <c r="P782" s="2">
        <f t="shared" si="77"/>
        <v>693</v>
      </c>
    </row>
    <row r="783" spans="1:16">
      <c r="A783" s="1">
        <v>782</v>
      </c>
      <c r="B783" s="1">
        <v>34</v>
      </c>
      <c r="C783" s="1" t="s">
        <v>16</v>
      </c>
      <c r="D783" s="1">
        <v>182.8</v>
      </c>
      <c r="E783" s="1">
        <v>86.4</v>
      </c>
      <c r="F783" s="1">
        <v>1820</v>
      </c>
      <c r="G783" s="1" t="s">
        <v>17</v>
      </c>
      <c r="H783" s="1">
        <v>1.375</v>
      </c>
      <c r="I783" s="1">
        <v>1.828</v>
      </c>
      <c r="J783" s="1">
        <v>25.8560012257659</v>
      </c>
      <c r="K783" t="str">
        <f t="shared" si="72"/>
        <v>缺口合适</v>
      </c>
      <c r="L783" s="2">
        <f t="shared" si="73"/>
        <v>1841.5</v>
      </c>
      <c r="M783" s="2">
        <f t="shared" si="74"/>
        <v>2532.0625</v>
      </c>
      <c r="N783" s="2">
        <f t="shared" si="75"/>
        <v>712.0625</v>
      </c>
      <c r="O783" s="2">
        <f t="shared" si="76"/>
        <v>475.2</v>
      </c>
      <c r="P783" s="2">
        <f t="shared" si="77"/>
        <v>950.4</v>
      </c>
    </row>
    <row r="784" spans="1:16">
      <c r="A784" s="1">
        <v>783</v>
      </c>
      <c r="B784" s="1">
        <v>28</v>
      </c>
      <c r="C784" s="1" t="s">
        <v>18</v>
      </c>
      <c r="D784" s="1">
        <v>168.2</v>
      </c>
      <c r="E784" s="1">
        <v>94.3</v>
      </c>
      <c r="F784" s="1">
        <v>1473</v>
      </c>
      <c r="G784" s="1" t="s">
        <v>17</v>
      </c>
      <c r="H784" s="1">
        <v>1.375</v>
      </c>
      <c r="I784" s="1">
        <v>1.682</v>
      </c>
      <c r="J784" s="1">
        <v>33.3318723392824</v>
      </c>
      <c r="K784" t="str">
        <f t="shared" si="72"/>
        <v>缺口合适</v>
      </c>
      <c r="L784" s="2">
        <f t="shared" si="73"/>
        <v>1693.25</v>
      </c>
      <c r="M784" s="2">
        <f t="shared" si="74"/>
        <v>2328.21875</v>
      </c>
      <c r="N784" s="2">
        <f t="shared" si="75"/>
        <v>855.21875</v>
      </c>
      <c r="O784" s="2">
        <f t="shared" si="76"/>
        <v>518.65</v>
      </c>
      <c r="P784" s="2">
        <f t="shared" si="77"/>
        <v>1037.3</v>
      </c>
    </row>
    <row r="785" spans="1:16">
      <c r="A785" s="1">
        <v>784</v>
      </c>
      <c r="B785" s="1">
        <v>31</v>
      </c>
      <c r="C785" s="1" t="s">
        <v>16</v>
      </c>
      <c r="D785" s="1">
        <v>170.6</v>
      </c>
      <c r="E785" s="1">
        <v>107</v>
      </c>
      <c r="F785" s="1">
        <v>1948</v>
      </c>
      <c r="G785" s="1" t="s">
        <v>19</v>
      </c>
      <c r="H785" s="1">
        <v>1.2</v>
      </c>
      <c r="I785" s="1">
        <v>1.706</v>
      </c>
      <c r="J785" s="1">
        <v>36.764251129384</v>
      </c>
      <c r="K785" t="str">
        <f t="shared" si="72"/>
        <v>缺口过小</v>
      </c>
      <c r="L785" s="2">
        <f t="shared" si="73"/>
        <v>1986.25</v>
      </c>
      <c r="M785" s="2">
        <f t="shared" si="74"/>
        <v>2383.5</v>
      </c>
      <c r="N785" s="2">
        <f t="shared" si="75"/>
        <v>435.5</v>
      </c>
      <c r="O785" s="2">
        <f t="shared" si="76"/>
        <v>588.5</v>
      </c>
      <c r="P785" s="2">
        <f t="shared" si="77"/>
        <v>1177</v>
      </c>
    </row>
    <row r="786" spans="1:16">
      <c r="A786" s="1">
        <v>785</v>
      </c>
      <c r="B786" s="1">
        <v>24</v>
      </c>
      <c r="C786" s="1" t="s">
        <v>18</v>
      </c>
      <c r="D786" s="1">
        <v>168.3</v>
      </c>
      <c r="E786" s="1">
        <v>99.4</v>
      </c>
      <c r="F786" s="1">
        <v>1651</v>
      </c>
      <c r="G786" s="1" t="s">
        <v>17</v>
      </c>
      <c r="H786" s="1">
        <v>1.375</v>
      </c>
      <c r="I786" s="1">
        <v>1.683</v>
      </c>
      <c r="J786" s="1">
        <v>35.0928105987348</v>
      </c>
      <c r="K786" t="str">
        <f t="shared" si="72"/>
        <v>缺口合适</v>
      </c>
      <c r="L786" s="2">
        <f t="shared" si="73"/>
        <v>1764.875</v>
      </c>
      <c r="M786" s="2">
        <f t="shared" si="74"/>
        <v>2426.703125</v>
      </c>
      <c r="N786" s="2">
        <f t="shared" si="75"/>
        <v>775.703125</v>
      </c>
      <c r="O786" s="2">
        <f t="shared" si="76"/>
        <v>546.7</v>
      </c>
      <c r="P786" s="2">
        <f t="shared" si="77"/>
        <v>1093.4</v>
      </c>
    </row>
    <row r="787" spans="1:16">
      <c r="A787" s="1">
        <v>786</v>
      </c>
      <c r="B787" s="1">
        <v>22</v>
      </c>
      <c r="C787" s="1" t="s">
        <v>18</v>
      </c>
      <c r="D787" s="1">
        <v>168</v>
      </c>
      <c r="E787" s="1">
        <v>62.7</v>
      </c>
      <c r="F787" s="1">
        <v>1983</v>
      </c>
      <c r="G787" s="1" t="s">
        <v>21</v>
      </c>
      <c r="H787" s="1">
        <v>1.725</v>
      </c>
      <c r="I787" s="1">
        <v>1.68</v>
      </c>
      <c r="J787" s="1">
        <v>22.2151360544217</v>
      </c>
      <c r="K787" t="str">
        <f t="shared" si="72"/>
        <v>缺口合适</v>
      </c>
      <c r="L787" s="2">
        <f t="shared" si="73"/>
        <v>1406</v>
      </c>
      <c r="M787" s="2">
        <f t="shared" si="74"/>
        <v>2425.35</v>
      </c>
      <c r="N787" s="2">
        <f t="shared" si="75"/>
        <v>442.35</v>
      </c>
      <c r="O787" s="2">
        <f t="shared" si="76"/>
        <v>344.85</v>
      </c>
      <c r="P787" s="2">
        <f t="shared" si="77"/>
        <v>689.7</v>
      </c>
    </row>
    <row r="788" spans="1:16">
      <c r="A788" s="1">
        <v>787</v>
      </c>
      <c r="B788" s="1">
        <v>23</v>
      </c>
      <c r="C788" s="1" t="s">
        <v>18</v>
      </c>
      <c r="D788" s="1">
        <v>159.9</v>
      </c>
      <c r="E788" s="1">
        <v>80.1</v>
      </c>
      <c r="F788" s="1">
        <v>1667</v>
      </c>
      <c r="G788" s="1" t="s">
        <v>21</v>
      </c>
      <c r="H788" s="1">
        <v>1.725</v>
      </c>
      <c r="I788" s="1">
        <v>1.599</v>
      </c>
      <c r="J788" s="1">
        <v>31.3282105255747</v>
      </c>
      <c r="K788" t="str">
        <f t="shared" si="72"/>
        <v>缺口过大</v>
      </c>
      <c r="L788" s="2">
        <f t="shared" si="73"/>
        <v>1524.375</v>
      </c>
      <c r="M788" s="2">
        <f t="shared" si="74"/>
        <v>2629.546875</v>
      </c>
      <c r="N788" s="2">
        <f t="shared" si="75"/>
        <v>962.546875</v>
      </c>
      <c r="O788" s="2">
        <f t="shared" si="76"/>
        <v>440.55</v>
      </c>
      <c r="P788" s="2">
        <f t="shared" si="77"/>
        <v>881.1</v>
      </c>
    </row>
    <row r="789" spans="1:16">
      <c r="A789" s="1">
        <v>788</v>
      </c>
      <c r="B789" s="1">
        <v>21</v>
      </c>
      <c r="C789" s="1" t="s">
        <v>16</v>
      </c>
      <c r="D789" s="1">
        <v>182.9</v>
      </c>
      <c r="E789" s="1">
        <v>79.3</v>
      </c>
      <c r="F789" s="1">
        <v>4534</v>
      </c>
      <c r="G789" s="1" t="s">
        <v>17</v>
      </c>
      <c r="H789" s="1">
        <v>1.375</v>
      </c>
      <c r="I789" s="1">
        <v>1.829</v>
      </c>
      <c r="J789" s="1">
        <v>23.705317494315</v>
      </c>
      <c r="K789" t="str">
        <f t="shared" si="72"/>
        <v>没有热量缺口</v>
      </c>
      <c r="L789" s="2">
        <f t="shared" si="73"/>
        <v>1836.125</v>
      </c>
      <c r="M789" s="2">
        <f t="shared" si="74"/>
        <v>2524.671875</v>
      </c>
      <c r="N789" s="2">
        <f t="shared" si="75"/>
        <v>-2009.328125</v>
      </c>
      <c r="O789" s="2">
        <f t="shared" si="76"/>
        <v>436.15</v>
      </c>
      <c r="P789" s="2">
        <f t="shared" si="77"/>
        <v>872.3</v>
      </c>
    </row>
    <row r="790" spans="1:16">
      <c r="A790" s="1">
        <v>789</v>
      </c>
      <c r="B790" s="1">
        <v>27</v>
      </c>
      <c r="C790" s="1" t="s">
        <v>16</v>
      </c>
      <c r="D790" s="1">
        <v>175</v>
      </c>
      <c r="E790" s="1">
        <v>67.6</v>
      </c>
      <c r="F790" s="1">
        <v>2526</v>
      </c>
      <c r="G790" s="1" t="s">
        <v>21</v>
      </c>
      <c r="H790" s="1">
        <v>1.725</v>
      </c>
      <c r="I790" s="1">
        <v>1.75</v>
      </c>
      <c r="J790" s="1">
        <v>22.0734693877551</v>
      </c>
      <c r="K790" t="str">
        <f t="shared" si="72"/>
        <v>缺口过小</v>
      </c>
      <c r="L790" s="2">
        <f t="shared" si="73"/>
        <v>1639.75</v>
      </c>
      <c r="M790" s="2">
        <f t="shared" si="74"/>
        <v>2828.56875</v>
      </c>
      <c r="N790" s="2">
        <f t="shared" si="75"/>
        <v>302.56875</v>
      </c>
      <c r="O790" s="2">
        <f t="shared" si="76"/>
        <v>371.8</v>
      </c>
      <c r="P790" s="2">
        <f t="shared" si="77"/>
        <v>743.6</v>
      </c>
    </row>
    <row r="791" spans="1:16">
      <c r="A791" s="1">
        <v>790</v>
      </c>
      <c r="B791" s="1">
        <v>32</v>
      </c>
      <c r="C791" s="1" t="s">
        <v>18</v>
      </c>
      <c r="D791" s="1">
        <v>167.8</v>
      </c>
      <c r="E791" s="1">
        <v>55</v>
      </c>
      <c r="F791" s="1">
        <v>3311</v>
      </c>
      <c r="G791" s="1" t="s">
        <v>21</v>
      </c>
      <c r="H791" s="1">
        <v>1.725</v>
      </c>
      <c r="I791" s="1">
        <v>1.678</v>
      </c>
      <c r="J791" s="1">
        <v>19.5334419629475</v>
      </c>
      <c r="K791" t="str">
        <f t="shared" si="72"/>
        <v>没有热量缺口</v>
      </c>
      <c r="L791" s="2">
        <f t="shared" si="73"/>
        <v>1277.75</v>
      </c>
      <c r="M791" s="2">
        <f t="shared" si="74"/>
        <v>2204.11875</v>
      </c>
      <c r="N791" s="2">
        <f t="shared" si="75"/>
        <v>-1106.88125</v>
      </c>
      <c r="O791" s="2">
        <f t="shared" si="76"/>
        <v>302.5</v>
      </c>
      <c r="P791" s="2">
        <f t="shared" si="77"/>
        <v>605</v>
      </c>
    </row>
    <row r="792" spans="1:16">
      <c r="A792" s="1">
        <v>791</v>
      </c>
      <c r="B792" s="1">
        <v>35</v>
      </c>
      <c r="C792" s="1" t="s">
        <v>18</v>
      </c>
      <c r="D792" s="1">
        <v>166.4</v>
      </c>
      <c r="E792" s="1">
        <v>56.6</v>
      </c>
      <c r="F792" s="1">
        <v>1339</v>
      </c>
      <c r="G792" s="1" t="s">
        <v>21</v>
      </c>
      <c r="H792" s="1">
        <v>1.725</v>
      </c>
      <c r="I792" s="1">
        <v>1.664</v>
      </c>
      <c r="J792" s="1">
        <v>20.4413600221893</v>
      </c>
      <c r="K792" t="str">
        <f t="shared" si="72"/>
        <v>缺口过大</v>
      </c>
      <c r="L792" s="2">
        <f t="shared" si="73"/>
        <v>1270</v>
      </c>
      <c r="M792" s="2">
        <f t="shared" si="74"/>
        <v>2190.75</v>
      </c>
      <c r="N792" s="2">
        <f t="shared" si="75"/>
        <v>851.75</v>
      </c>
      <c r="O792" s="2">
        <f t="shared" si="76"/>
        <v>311.3</v>
      </c>
      <c r="P792" s="2">
        <f t="shared" si="77"/>
        <v>622.6</v>
      </c>
    </row>
    <row r="793" spans="1:16">
      <c r="A793" s="1">
        <v>792</v>
      </c>
      <c r="B793" s="1">
        <v>34</v>
      </c>
      <c r="C793" s="1" t="s">
        <v>16</v>
      </c>
      <c r="D793" s="1">
        <v>183.8</v>
      </c>
      <c r="E793" s="1">
        <v>148.2</v>
      </c>
      <c r="F793" s="1">
        <v>2739</v>
      </c>
      <c r="G793" s="1" t="s">
        <v>20</v>
      </c>
      <c r="H793" s="1">
        <v>1.55</v>
      </c>
      <c r="I793" s="1">
        <v>1.838</v>
      </c>
      <c r="J793" s="1">
        <v>43.8689449311535</v>
      </c>
      <c r="K793" t="str">
        <f t="shared" si="72"/>
        <v>缺口合适</v>
      </c>
      <c r="L793" s="2">
        <f t="shared" si="73"/>
        <v>2465.75</v>
      </c>
      <c r="M793" s="2">
        <f t="shared" si="74"/>
        <v>3821.9125</v>
      </c>
      <c r="N793" s="2">
        <f t="shared" si="75"/>
        <v>1082.9125</v>
      </c>
      <c r="O793" s="2">
        <f t="shared" si="76"/>
        <v>815.1</v>
      </c>
      <c r="P793" s="2">
        <f t="shared" si="77"/>
        <v>1630.2</v>
      </c>
    </row>
    <row r="794" spans="1:16">
      <c r="A794" s="1">
        <v>793</v>
      </c>
      <c r="B794" s="1">
        <v>29</v>
      </c>
      <c r="C794" s="1" t="s">
        <v>18</v>
      </c>
      <c r="D794" s="1">
        <v>174.1</v>
      </c>
      <c r="E794" s="1">
        <v>78.9</v>
      </c>
      <c r="F794" s="1">
        <v>1574</v>
      </c>
      <c r="G794" s="1" t="s">
        <v>20</v>
      </c>
      <c r="H794" s="1">
        <v>1.55</v>
      </c>
      <c r="I794" s="1">
        <v>1.74099999999999</v>
      </c>
      <c r="J794" s="1">
        <v>26.0303172366558</v>
      </c>
      <c r="K794" t="str">
        <f t="shared" si="72"/>
        <v>缺口合适</v>
      </c>
      <c r="L794" s="2">
        <f t="shared" si="73"/>
        <v>1571.125</v>
      </c>
      <c r="M794" s="2">
        <f t="shared" si="74"/>
        <v>2435.24375</v>
      </c>
      <c r="N794" s="2">
        <f t="shared" si="75"/>
        <v>861.24375</v>
      </c>
      <c r="O794" s="2">
        <f t="shared" si="76"/>
        <v>433.95</v>
      </c>
      <c r="P794" s="2">
        <f t="shared" si="77"/>
        <v>867.9</v>
      </c>
    </row>
    <row r="795" spans="1:16">
      <c r="A795" s="1">
        <v>794</v>
      </c>
      <c r="B795" s="1">
        <v>21</v>
      </c>
      <c r="C795" s="1" t="s">
        <v>16</v>
      </c>
      <c r="D795" s="1">
        <v>170.5</v>
      </c>
      <c r="E795" s="1">
        <v>128.3</v>
      </c>
      <c r="F795" s="1">
        <v>1124</v>
      </c>
      <c r="G795" s="1" t="s">
        <v>21</v>
      </c>
      <c r="H795" s="1">
        <v>1.725</v>
      </c>
      <c r="I795" s="1">
        <v>1.705</v>
      </c>
      <c r="J795" s="1">
        <v>44.1344673678416</v>
      </c>
      <c r="K795" t="str">
        <f t="shared" si="72"/>
        <v>缺口过大</v>
      </c>
      <c r="L795" s="2">
        <f t="shared" si="73"/>
        <v>2248.625</v>
      </c>
      <c r="M795" s="2">
        <f t="shared" si="74"/>
        <v>3878.878125</v>
      </c>
      <c r="N795" s="2">
        <f t="shared" si="75"/>
        <v>2754.878125</v>
      </c>
      <c r="O795" s="2">
        <f t="shared" si="76"/>
        <v>705.65</v>
      </c>
      <c r="P795" s="2">
        <f t="shared" si="77"/>
        <v>1411.3</v>
      </c>
    </row>
    <row r="796" spans="1:16">
      <c r="A796" s="1">
        <v>795</v>
      </c>
      <c r="B796" s="1">
        <v>23</v>
      </c>
      <c r="C796" s="1" t="s">
        <v>18</v>
      </c>
      <c r="D796" s="1">
        <v>168.9</v>
      </c>
      <c r="E796" s="1">
        <v>82.1</v>
      </c>
      <c r="F796" s="1">
        <v>3541</v>
      </c>
      <c r="G796" s="1" t="s">
        <v>17</v>
      </c>
      <c r="H796" s="1">
        <v>1.375</v>
      </c>
      <c r="I796" s="1">
        <v>1.689</v>
      </c>
      <c r="J796" s="1">
        <v>28.7795406560964</v>
      </c>
      <c r="K796" t="str">
        <f t="shared" si="72"/>
        <v>没有热量缺口</v>
      </c>
      <c r="L796" s="2">
        <f t="shared" si="73"/>
        <v>1600.625</v>
      </c>
      <c r="M796" s="2">
        <f t="shared" si="74"/>
        <v>2200.859375</v>
      </c>
      <c r="N796" s="2">
        <f t="shared" si="75"/>
        <v>-1340.140625</v>
      </c>
      <c r="O796" s="2">
        <f t="shared" si="76"/>
        <v>451.55</v>
      </c>
      <c r="P796" s="2">
        <f t="shared" si="77"/>
        <v>903.1</v>
      </c>
    </row>
    <row r="797" spans="1:16">
      <c r="A797" s="1">
        <v>796</v>
      </c>
      <c r="B797" s="1">
        <v>31</v>
      </c>
      <c r="C797" s="1" t="s">
        <v>16</v>
      </c>
      <c r="D797" s="1">
        <v>172.9</v>
      </c>
      <c r="E797" s="1">
        <v>98.7</v>
      </c>
      <c r="F797" s="1">
        <v>1002</v>
      </c>
      <c r="G797" s="1" t="s">
        <v>21</v>
      </c>
      <c r="H797" s="1">
        <v>1.725</v>
      </c>
      <c r="I797" s="1">
        <v>1.729</v>
      </c>
      <c r="J797" s="1">
        <v>33.0162060398582</v>
      </c>
      <c r="K797" t="str">
        <f t="shared" si="72"/>
        <v>缺口过大</v>
      </c>
      <c r="L797" s="2">
        <f t="shared" si="73"/>
        <v>1917.625</v>
      </c>
      <c r="M797" s="2">
        <f t="shared" si="74"/>
        <v>3307.903125</v>
      </c>
      <c r="N797" s="2">
        <f t="shared" si="75"/>
        <v>2305.903125</v>
      </c>
      <c r="O797" s="2">
        <f t="shared" si="76"/>
        <v>542.85</v>
      </c>
      <c r="P797" s="2">
        <f t="shared" si="77"/>
        <v>1085.7</v>
      </c>
    </row>
    <row r="798" spans="1:16">
      <c r="A798" s="1">
        <v>797</v>
      </c>
      <c r="B798" s="1">
        <v>24</v>
      </c>
      <c r="C798" s="1" t="s">
        <v>18</v>
      </c>
      <c r="D798" s="1">
        <v>164.5</v>
      </c>
      <c r="E798" s="1">
        <v>53.7</v>
      </c>
      <c r="F798" s="1">
        <v>2269</v>
      </c>
      <c r="G798" s="1" t="s">
        <v>21</v>
      </c>
      <c r="H798" s="1">
        <v>1.725</v>
      </c>
      <c r="I798" s="1">
        <v>1.645</v>
      </c>
      <c r="J798" s="1">
        <v>19.8446060180523</v>
      </c>
      <c r="K798" t="str">
        <f t="shared" si="72"/>
        <v>没有热量缺口</v>
      </c>
      <c r="L798" s="2">
        <f t="shared" si="73"/>
        <v>1284.125</v>
      </c>
      <c r="M798" s="2">
        <f t="shared" si="74"/>
        <v>2215.115625</v>
      </c>
      <c r="N798" s="2">
        <f t="shared" si="75"/>
        <v>-53.8843750000001</v>
      </c>
      <c r="O798" s="2">
        <f t="shared" si="76"/>
        <v>295.35</v>
      </c>
      <c r="P798" s="2">
        <f t="shared" si="77"/>
        <v>590.7</v>
      </c>
    </row>
    <row r="799" spans="1:16">
      <c r="A799" s="1">
        <v>798</v>
      </c>
      <c r="B799" s="1">
        <v>28</v>
      </c>
      <c r="C799" s="1" t="s">
        <v>18</v>
      </c>
      <c r="D799" s="1">
        <v>159</v>
      </c>
      <c r="E799" s="1">
        <v>88.1</v>
      </c>
      <c r="F799" s="1">
        <v>1571</v>
      </c>
      <c r="G799" s="1" t="s">
        <v>20</v>
      </c>
      <c r="H799" s="1">
        <v>1.55</v>
      </c>
      <c r="I799" s="1">
        <v>1.59</v>
      </c>
      <c r="J799" s="1">
        <v>34.8483050512242</v>
      </c>
      <c r="K799" t="str">
        <f t="shared" si="72"/>
        <v>缺口合适</v>
      </c>
      <c r="L799" s="2">
        <f t="shared" si="73"/>
        <v>1573.75</v>
      </c>
      <c r="M799" s="2">
        <f t="shared" si="74"/>
        <v>2439.3125</v>
      </c>
      <c r="N799" s="2">
        <f t="shared" si="75"/>
        <v>868.3125</v>
      </c>
      <c r="O799" s="2">
        <f t="shared" si="76"/>
        <v>484.55</v>
      </c>
      <c r="P799" s="2">
        <f t="shared" si="77"/>
        <v>969.1</v>
      </c>
    </row>
    <row r="800" spans="1:16">
      <c r="A800" s="1">
        <v>799</v>
      </c>
      <c r="B800" s="1">
        <v>23</v>
      </c>
      <c r="C800" s="1" t="s">
        <v>18</v>
      </c>
      <c r="D800" s="1">
        <v>171.4</v>
      </c>
      <c r="E800" s="1">
        <v>112.9</v>
      </c>
      <c r="F800" s="1">
        <v>1844</v>
      </c>
      <c r="G800" s="1" t="s">
        <v>20</v>
      </c>
      <c r="H800" s="1">
        <v>1.55</v>
      </c>
      <c r="I800" s="1">
        <v>1.714</v>
      </c>
      <c r="J800" s="1">
        <v>38.4301701003064</v>
      </c>
      <c r="K800" t="str">
        <f t="shared" si="72"/>
        <v>缺口合适</v>
      </c>
      <c r="L800" s="2">
        <f t="shared" si="73"/>
        <v>1924.25</v>
      </c>
      <c r="M800" s="2">
        <f t="shared" si="74"/>
        <v>2982.5875</v>
      </c>
      <c r="N800" s="2">
        <f t="shared" si="75"/>
        <v>1138.5875</v>
      </c>
      <c r="O800" s="2">
        <f t="shared" si="76"/>
        <v>620.95</v>
      </c>
      <c r="P800" s="2">
        <f t="shared" si="77"/>
        <v>1241.9</v>
      </c>
    </row>
    <row r="801" spans="1:16">
      <c r="A801" s="1">
        <v>800</v>
      </c>
      <c r="B801" s="1">
        <v>33</v>
      </c>
      <c r="C801" s="1" t="s">
        <v>16</v>
      </c>
      <c r="D801" s="1">
        <v>178.5</v>
      </c>
      <c r="E801" s="1">
        <v>113.8</v>
      </c>
      <c r="F801" s="1">
        <v>2242</v>
      </c>
      <c r="G801" s="1" t="s">
        <v>21</v>
      </c>
      <c r="H801" s="1">
        <v>1.725</v>
      </c>
      <c r="I801" s="1">
        <v>1.785</v>
      </c>
      <c r="J801" s="1">
        <v>35.716247283227</v>
      </c>
      <c r="K801" t="str">
        <f t="shared" si="72"/>
        <v>缺口过大</v>
      </c>
      <c r="L801" s="2">
        <f t="shared" si="73"/>
        <v>2093.625</v>
      </c>
      <c r="M801" s="2">
        <f t="shared" si="74"/>
        <v>3611.503125</v>
      </c>
      <c r="N801" s="2">
        <f t="shared" si="75"/>
        <v>1369.503125</v>
      </c>
      <c r="O801" s="2">
        <f t="shared" si="76"/>
        <v>625.9</v>
      </c>
      <c r="P801" s="2">
        <f t="shared" si="77"/>
        <v>1251.8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nhanes_fatloss_sample_800_2021_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LZY.</cp:lastModifiedBy>
  <dcterms:created xsi:type="dcterms:W3CDTF">2026-08-27T20:55:00Z</dcterms:created>
  <dcterms:modified xsi:type="dcterms:W3CDTF">2026-08-28T02:01:03Z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2052-6.7.1.8828</vt:lpwstr>
  </property>
  <property fmtid="{D5CDD505-2E9C-101B-9397-08002B2CF9AE}" pid="3" name="ICV">
    <vt:lpwstr>E3E333BF5F7006AD6AE68F6A343C9047_42</vt:lpwstr>
  </property>
</Properties>
</file>