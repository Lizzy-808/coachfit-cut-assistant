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说明" sheetId="1" state="visible" r:id="rId1"/>
    <sheet xmlns:r="http://schemas.openxmlformats.org/officeDocument/2006/relationships" name="评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1" t="inlineStr">
        <is>
          <t>这一轮评什么（老师建议的指标）</t>
        </is>
      </c>
      <c r="B1" s="2" t="inlineStr"/>
    </row>
    <row r="2">
      <c r="A2" s="2" t="inlineStr">
        <is>
          <t>核心问题</t>
        </is>
      </c>
      <c r="B2" s="2" t="inlineStr">
        <is>
          <t>AI 写的建议，有没有把规则标出的每一个标记都说出来？有没有凭空编造规则没有标出的标记？</t>
        </is>
      </c>
    </row>
    <row r="3">
      <c r="A3" s="2" t="inlineStr">
        <is>
          <t>1</t>
        </is>
      </c>
      <c r="B3" s="2" t="inlineStr">
        <is>
          <t>「规则标出的标记」一列列出了这个案例的全部标记，由代码生成，一定是对的。</t>
        </is>
      </c>
    </row>
    <row r="4">
      <c r="A4" s="2" t="inlineStr">
        <is>
          <t>2</t>
        </is>
      </c>
      <c r="B4" s="2" t="inlineStr">
        <is>
          <t>「全部说到了？」：每一个标记在建议里都能找到（意思对就行，不要求原词）→ 1；漏了任何一个 → 0。</t>
        </is>
      </c>
    </row>
    <row r="5">
      <c r="A5" s="2" t="inlineStr">
        <is>
          <t>3</t>
        </is>
      </c>
      <c r="B5" s="2" t="inlineStr">
        <is>
          <t>「没有编造？」：建议里没有出现规则之外的标记 → 1；有 → 0。编造的例子：说"蛋白质不足"但规则没标；说"需要复核"但规则没要求；说"缺口太大"但标签是 appropriate；把 appropriate 说成"吃太少"。</t>
        </is>
      </c>
    </row>
    <row r="6">
      <c r="A6" s="2" t="inlineStr">
        <is>
          <t>4</t>
        </is>
      </c>
      <c r="B6" s="2" t="inlineStr">
        <is>
          <t>「总分」= 两项都是 1 才是 1，否则 0。有 0 的话在「你的理由」写一句。</t>
        </is>
      </c>
    </row>
    <row r="7">
      <c r="A7" s="2" t="inlineStr"/>
      <c r="B7" s="2" t="inlineStr"/>
    </row>
    <row r="8">
      <c r="A8" s="1" t="inlineStr">
        <is>
          <t>容易混淆的地方</t>
        </is>
      </c>
      <c r="B8" s="2" t="inlineStr"/>
    </row>
    <row r="9">
      <c r="A9" s="2" t="inlineStr">
        <is>
          <t>负数缺口</t>
        </is>
      </c>
      <c r="B9" s="2" t="inlineStr">
        <is>
          <t>"deficit of -90 kcal" = 多吃 90 kcal，不算错。</t>
        </is>
      </c>
    </row>
    <row r="10">
      <c r="A10" s="2" t="inlineStr">
        <is>
          <t>too_small</t>
        </is>
      </c>
      <c r="B10" s="2" t="inlineStr">
        <is>
          <t>缺口太小 = 吃得偏多，"摄入高于目标范围"是正确说法。</t>
        </is>
      </c>
    </row>
    <row r="11">
      <c r="A11" s="2" t="inlineStr">
        <is>
          <t>低于 BMR</t>
        </is>
      </c>
      <c r="B11" s="2" t="inlineStr">
        <is>
          <t>只要提到了就算说到；但如果因此建议 appropriate 的客户"多吃"，算编造（把它说成了问题）。</t>
        </is>
      </c>
    </row>
    <row r="12">
      <c r="A12" s="2" t="inlineStr">
        <is>
          <t>对误差敏感</t>
        </is>
      </c>
      <c r="B12" s="2" t="inlineStr">
        <is>
          <t>提到"可能是另一个标签 / 记录误差 / 核对饮食记录"之一即可算说到。</t>
        </is>
      </c>
    </row>
    <row r="13">
      <c r="A13" s="2" t="inlineStr">
        <is>
          <t>数字</t>
        </is>
      </c>
      <c r="B13" s="2" t="inlineStr">
        <is>
          <t>这一轮不单独检查数字（代码已检查过），只看标记。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42" customWidth="1" min="3" max="3"/>
    <col width="80" customWidth="1" min="4" max="4"/>
    <col width="12" customWidth="1" min="5" max="5"/>
    <col width="12" customWidth="1" min="6" max="6"/>
    <col width="10" customWidth="1" min="7" max="7"/>
    <col width="36" customWidth="1" min="8" max="8"/>
  </cols>
  <sheetData>
    <row r="1">
      <c r="A1" s="3" t="inlineStr">
        <is>
          <t>编号</t>
        </is>
      </c>
      <c r="B1" s="3" t="inlineStr">
        <is>
          <t>案例</t>
        </is>
      </c>
      <c r="C1" s="3" t="inlineStr">
        <is>
          <t>规则标出的标记</t>
        </is>
      </c>
      <c r="D1" s="3" t="inlineStr">
        <is>
          <t>AI 写的建议</t>
        </is>
      </c>
      <c r="E1" s="3" t="inlineStr">
        <is>
          <t>全部说到了？(1/0)</t>
        </is>
      </c>
      <c r="F1" s="3" t="inlineStr">
        <is>
          <t>没有编造？(1/0)</t>
        </is>
      </c>
      <c r="G1" s="3" t="inlineStr">
        <is>
          <t>总分 (1/0)</t>
        </is>
      </c>
      <c r="H1" s="3" t="inlineStr">
        <is>
          <t>你的理由</t>
        </is>
      </c>
    </row>
    <row r="2">
      <c r="A2" s="2" t="n">
        <v>1</v>
      </c>
      <c r="B2" s="2" t="inlineStr">
        <is>
          <t>N513</t>
        </is>
      </c>
      <c r="C2" s="2" t="inlineStr">
        <is>
          <t>• 缺口标签：no_deficit
• 蛋白质未记录，无法评估</t>
        </is>
      </c>
      <c r="D2" s="2" t="inlineStr">
        <is>
          <t>The client is currently in a caloric surplus and needs to reduce intake.
Daily intake of 3177 kcal is above the target intake range of 997-1373 kcal. The client eats 1428 kcal MORE than maintenance (1750 kcal), indicating a surplus, so there is no deficit and the label is no_deficit.
Advise the client to reduce daily caloric intake to align with the target range.</t>
        </is>
      </c>
      <c r="E2" s="4" t="inlineStr"/>
      <c r="F2" s="4" t="inlineStr"/>
      <c r="G2" s="2">
        <f>IF(AND(E2=1,F2=1),1,IF(OR(E2="",F2=""),"",0))</f>
        <v/>
      </c>
      <c r="H2" s="4" t="inlineStr"/>
    </row>
    <row r="3">
      <c r="A3" s="2" t="n">
        <v>2</v>
      </c>
      <c r="B3" s="2" t="inlineStr">
        <is>
          <t>S1</t>
        </is>
      </c>
      <c r="C3" s="2" t="inlineStr">
        <is>
          <t>• 缺口标签：too_large
• 蛋白质不足
• 低于安全热量下限（女 1200 / 男 1500 kcal）
• 摄入低于 BMR（减脂期常见，本身不算问题）
• 需要教练复核</t>
        </is>
      </c>
      <c r="D3" s="2" t="inlineStr">
        <is>
          <t>Review needed due to significant caloric deficit and insufficient protein intake.
The client has a daily intake of 1000 kcal, which is below the target intake range of 1183-1513 kcal and also below the 1200 kcal floor for female clients. Additionally, the protein intake of 60 g is below the target range of 96-132 g, indicating insufficient protein consumption.
Coach should review the client's case to address the large caloric deficit and protein insufficiency before making any adjustments.</t>
        </is>
      </c>
      <c r="E3" s="4" t="inlineStr"/>
      <c r="F3" s="4" t="inlineStr"/>
      <c r="G3" s="2">
        <f>IF(AND(E3=1,F3=1),1,IF(OR(E3="",F3=""),"",0))</f>
        <v/>
      </c>
      <c r="H3" s="4" t="inlineStr"/>
    </row>
    <row r="4">
      <c r="A4" s="2" t="n">
        <v>3</v>
      </c>
      <c r="B4" s="2" t="inlineStr">
        <is>
          <t>N370</t>
        </is>
      </c>
      <c r="C4" s="2" t="inlineStr">
        <is>
          <t>• 缺口标签：appropriate
• 蛋白质未记录，无法评估
• 对记录误差敏感：±10% 误差下标签可能是 appropriate / too_large
• 低于安全热量下限（女 1200 / 男 1500 kcal）
• 摄入低于 BMR（减脂期常见，本身不算问题）
• 需要教练复核</t>
        </is>
      </c>
      <c r="D4" s="2" t="inlineStr">
        <is>
          <t>Review needed due to low confidence in assessment accuracy.
The client's daily intake of 1317 kcal is within the target intake range of 1216-1698 kcal, and the deficit of 861.8 kcal is appropriate compared to the maintenance level. However, the intake is below the 1500 kcal floor for male clients and below the estimated BMR of 1816 kcal, which raises concerns about the accuracy of the logged intake.
Coach should review the client's intake logs and overall dietary habits before making any adjustments.</t>
        </is>
      </c>
      <c r="E4" s="4" t="inlineStr"/>
      <c r="F4" s="4" t="inlineStr"/>
      <c r="G4" s="2">
        <f>IF(AND(E4=1,F4=1),1,IF(OR(E4="",F4=""),"",0))</f>
        <v/>
      </c>
      <c r="H4" s="4" t="inlineStr"/>
    </row>
    <row r="5">
      <c r="A5" s="2" t="n">
        <v>4</v>
      </c>
      <c r="B5" s="2" t="inlineStr">
        <is>
          <t>P1</t>
        </is>
      </c>
      <c r="C5" s="2" t="inlineStr">
        <is>
          <t>• 缺口标签：appropriate
• 蛋白质不足</t>
        </is>
      </c>
      <c r="D5" s="2" t="inlineStr">
        <is>
          <t>The client's fat-loss plan is on track but protein intake is insufficient.
The daily intake of 1650 kcal is within the target intake range of 1447-1832 kcal. The client consumes 80 g of protein, which is below the target range of 112-154 g, indicating that protein intake is insufficient.
Consider adjusting the client's protein intake to meet the target range.</t>
        </is>
      </c>
      <c r="E5" s="4" t="inlineStr"/>
      <c r="F5" s="4" t="inlineStr"/>
      <c r="G5" s="2">
        <f>IF(AND(E5=1,F5=1),1,IF(OR(E5="",F5=""),"",0))</f>
        <v/>
      </c>
      <c r="H5" s="4" t="inlineStr"/>
    </row>
    <row r="6">
      <c r="A6" s="2" t="n">
        <v>5</v>
      </c>
      <c r="B6" s="2" t="inlineStr">
        <is>
          <t>P4</t>
        </is>
      </c>
      <c r="C6" s="2" t="inlineStr">
        <is>
          <t>• 缺口标签：appropriate
• 蛋白质未记录，无法评估
• 对记录误差敏感：±10% 误差下标签可能是 too_small / appropriate</t>
        </is>
      </c>
      <c r="D6" s="2" t="inlineStr">
        <is>
          <t>Client's fat-loss plan is on track with an appropriate deficit.
The daily intake of 2200 kcal is within the target intake range of 1831-2271 kcal. The client is consuming 511 kcal less than maintenance, which aligns with the appropriate deficit label since the target deficit is 440-880 kcal.
Monitor the client's progress and ensure they log their protein intake for better assessment.</t>
        </is>
      </c>
      <c r="E6" s="4" t="inlineStr"/>
      <c r="F6" s="4" t="inlineStr"/>
      <c r="G6" s="2">
        <f>IF(AND(E6=1,F6=1),1,IF(OR(E6="",F6=""),"",0))</f>
        <v/>
      </c>
      <c r="H6" s="4" t="inlineStr"/>
    </row>
    <row r="7">
      <c r="A7" s="2" t="n">
        <v>6</v>
      </c>
      <c r="B7" s="2" t="inlineStr">
        <is>
          <t>P2</t>
        </is>
      </c>
      <c r="C7" s="2" t="inlineStr">
        <is>
          <t>• 缺口标签：appropriate
• 对记录误差敏感：±10% 误差下标签可能是 too_small / appropriate</t>
        </is>
      </c>
      <c r="D7" s="2" t="inlineStr">
        <is>
          <t>The client's fat-loss plan is on track but requires monitoring.
The daily intake of 2200 kcal is within the target intake range of 1831-2271 kcal. The client is consuming 511 kcal less than maintenance, which is appropriate as it falls within the target deficit of 440-880 kcal. However, the confidence level is low, indicating potential issues with intake logging.
Monitor the client's food logging closely to ensure accuracy.</t>
        </is>
      </c>
      <c r="E7" s="4" t="inlineStr"/>
      <c r="F7" s="4" t="inlineStr"/>
      <c r="G7" s="2">
        <f>IF(AND(E7=1,F7=1),1,IF(OR(E7="",F7=""),"",0))</f>
        <v/>
      </c>
      <c r="H7" s="4" t="inlineStr"/>
    </row>
    <row r="8">
      <c r="A8" s="2" t="n">
        <v>7</v>
      </c>
      <c r="B8" s="2" t="inlineStr">
        <is>
          <t>N798</t>
        </is>
      </c>
      <c r="C8" s="2" t="inlineStr">
        <is>
          <t>• 缺口标签：appropriate
• 蛋白质未记录，无法评估
• 对记录误差敏感：±10% 误差下标签可能是 appropriate / too_large
• 摄入低于 BMR（减脂期常见，本身不算问题）</t>
        </is>
      </c>
      <c r="D8" s="2" t="inlineStr">
        <is>
          <t>The client's fat-loss plan appears appropriate based on current intake and deficit.
The daily intake of 1571 kcal is within the target intake range of 1470-1955 kcal. The client is consuming 868 kcal less than maintenance, which aligns with the appropriate deficit label, and the intake is below the estimated BMR of 1574 kcal, which is common in fat-loss scenarios.
Monitor the client's protein intake and ensure it is logged for future assessments.</t>
        </is>
      </c>
      <c r="E8" s="4" t="inlineStr"/>
      <c r="F8" s="4" t="inlineStr"/>
      <c r="G8" s="2">
        <f>IF(AND(E8=1,F8=1),1,IF(OR(E8="",F8=""),"",0))</f>
        <v/>
      </c>
      <c r="H8" s="4" t="inlineStr"/>
    </row>
    <row r="9">
      <c r="A9" s="2" t="n">
        <v>8</v>
      </c>
      <c r="B9" s="2" t="inlineStr">
        <is>
          <t>N182</t>
        </is>
      </c>
      <c r="C9" s="2" t="inlineStr">
        <is>
          <t>• 缺口标签：too_small
• 蛋白质未记录，无法评估
• 对记录误差敏感：±10% 误差下标签可能是 too_small / appropriate</t>
        </is>
      </c>
      <c r="D9" s="2" t="inlineStr">
        <is>
          <t>The client's caloric deficit is too small for effective fat loss.
The daily intake of 3186 kcal is above the target intake range of 2395.7-3006.7 kcal. The client is eating 431.8 kcal less than maintenance, while the target deficit is 611.1-1222.1 kcal, indicating the deficit is too small.
Consider adjusting the client's caloric intake to align with the target deficit range.</t>
        </is>
      </c>
      <c r="E9" s="4" t="inlineStr"/>
      <c r="F9" s="4" t="inlineStr"/>
      <c r="G9" s="2">
        <f>IF(AND(E9=1,F9=1),1,IF(OR(E9="",F9=""),"",0))</f>
        <v/>
      </c>
      <c r="H9" s="4" t="inlineStr"/>
    </row>
    <row r="10">
      <c r="A10" s="2" t="n">
        <v>9</v>
      </c>
      <c r="B10" s="2" t="inlineStr">
        <is>
          <t>S3</t>
        </is>
      </c>
      <c r="C10" s="2" t="inlineStr">
        <is>
          <t>• 缺口标签：appropriate
• 对记录误差敏感：±10% 误差下标签可能是 too_small / appropriate
• BMI &lt; 18.5，体重过轻
• 需要教练复核</t>
        </is>
      </c>
      <c r="D10" s="2" t="inlineStr">
        <is>
          <t>Review needed due to underweight status and low confidence in intake accuracy.
The client's BMI of 16.5 is below 18.5, indicating underweight status, and fat loss is not an appropriate goal. Additionally, the confidence in the assessment is low, suggesting that if intake is logged 10% off, the label could be too_small or appropriate.
Coach should review the client's case to determine the best course of action regarding their fat-loss goals.</t>
        </is>
      </c>
      <c r="E10" s="4" t="inlineStr"/>
      <c r="F10" s="4" t="inlineStr"/>
      <c r="G10" s="2">
        <f>IF(AND(E10=1,F10=1),1,IF(OR(E10="",F10=""),"",0))</f>
        <v/>
      </c>
      <c r="H10" s="4" t="inlineStr"/>
    </row>
    <row r="11">
      <c r="A11" s="2" t="n">
        <v>10</v>
      </c>
      <c r="B11" s="2" t="inlineStr">
        <is>
          <t>T1</t>
        </is>
      </c>
      <c r="C11" s="2" t="inlineStr">
        <is>
          <t>• 缺口标签：no_deficit
• 蛋白质不足</t>
        </is>
      </c>
      <c r="D11" s="2" t="inlineStr">
        <is>
          <t>The client is in a caloric surplus and has insufficient protein intake.
Daily intake of 3200 kcal is above the target intake range of 1574-2097 kcal. The client eats 581 kcal MORE than maintenance, indicating a surplus, and protein intake of 140 g is below the target of 152-209 g, which is insufficient.
Advise the client to reduce daily caloric intake and increase protein consumption.</t>
        </is>
      </c>
      <c r="E11" s="4" t="inlineStr"/>
      <c r="F11" s="4" t="inlineStr"/>
      <c r="G11" s="2">
        <f>IF(AND(E11=1,F11=1),1,IF(OR(E11="",F11=""),"",0))</f>
        <v/>
      </c>
      <c r="H11" s="4" t="inlineStr"/>
    </row>
    <row r="12">
      <c r="A12" s="2" t="n">
        <v>11</v>
      </c>
      <c r="B12" s="2" t="inlineStr">
        <is>
          <t>S2</t>
        </is>
      </c>
      <c r="C12" s="2" t="inlineStr">
        <is>
          <t>• 缺口标签：appropriate
• 对记录误差敏感：±10% 误差下标签可能是 appropriate / too_large
• 低于安全热量下限（女 1200 / 男 1500 kcal）
• 摄入低于 BMR（减脂期常见，本身不算问题）
• 需要教练复核</t>
        </is>
      </c>
      <c r="D12" s="2" t="inlineStr">
        <is>
          <t>Review needed due to low confidence in assessment.
The client's daily intake of 1300 kcal is within the target intake range of 1208-1594 kcal and the deficit of 678 kcal is appropriate compared to the maintenance level. However, the intake is below the 1500 kcal floor for male clients and below the estimated BMR of 1649 kcal, which raises concerns about sustainability and safety.
Coach should review the client's intake logs and overall progress before making any changes.</t>
        </is>
      </c>
      <c r="E12" s="4" t="inlineStr"/>
      <c r="F12" s="4" t="inlineStr"/>
      <c r="G12" s="2">
        <f>IF(AND(E12=1,F12=1),1,IF(OR(E12="",F12=""),"",0))</f>
        <v/>
      </c>
      <c r="H12" s="4" t="inlineStr"/>
    </row>
    <row r="13">
      <c r="A13" s="2" t="n">
        <v>12</v>
      </c>
      <c r="B13" s="2" t="inlineStr">
        <is>
          <t>N604</t>
        </is>
      </c>
      <c r="C13" s="2" t="inlineStr">
        <is>
          <t>• 缺口标签：too_small
• 蛋白质未记录，无法评估
• 对记录误差敏感：±10% 误差下标签可能是 no_deficit / too_small</t>
        </is>
      </c>
      <c r="D13" s="2" t="inlineStr">
        <is>
          <t>The client's caloric intake is too high for fat loss.
Daily intake of 2271 kcal is above the target intake range of 1239-1772 kcal. The client is currently eating 33 kcal less than maintenance, which is labeled as too_small compared to the target deficit range of 532-1065 kcal.
Consider discussing the client's daily intake and logging practices to ensure accurate tracking.</t>
        </is>
      </c>
      <c r="E13" s="4" t="inlineStr"/>
      <c r="F13" s="4" t="inlineStr"/>
      <c r="G13" s="2">
        <f>IF(AND(E13=1,F13=1),1,IF(OR(E13="",F13=""),"",0))</f>
        <v/>
      </c>
      <c r="H13" s="4" t="inlineStr"/>
    </row>
    <row r="14">
      <c r="A14" s="2" t="n">
        <v>13</v>
      </c>
      <c r="B14" s="2" t="inlineStr">
        <is>
          <t>S4</t>
        </is>
      </c>
      <c r="C14" s="2" t="inlineStr">
        <is>
          <t>• 缺口标签：too_large
• 低于安全热量下限（女 1200 / 男 1500 kcal）
• 摄入低于 BMR（减脂期常见，本身不算问题）
• 需要教练复核</t>
        </is>
      </c>
      <c r="D14" s="2" t="inlineStr">
        <is>
          <t>Review needed due to excessive caloric deficit.
The client's daily intake of 1400 kcal is below the target intake range of 2550-2990 kcal and is also below the 1500 kcal floor for male clients. Additionally, the client is consuming 2030 kcal less than maintenance, which is labeled as too large, indicating a significant deficit that may require adjustment.
Coach should review the client's caloric intake and overall plan before making any changes.</t>
        </is>
      </c>
      <c r="E14" s="4" t="inlineStr"/>
      <c r="F14" s="4" t="inlineStr"/>
      <c r="G14" s="2">
        <f>IF(AND(E14=1,F14=1),1,IF(OR(E14="",F14=""),"",0))</f>
        <v/>
      </c>
      <c r="H14" s="4" t="inlineStr"/>
    </row>
    <row r="15">
      <c r="A15" s="2" t="n">
        <v>14</v>
      </c>
      <c r="B15" s="2" t="inlineStr">
        <is>
          <t>B2</t>
        </is>
      </c>
      <c r="C15" s="2" t="inlineStr">
        <is>
          <t>• 缺口标签：too_small
• 对记录误差敏感：±10% 误差下标签可能是 no_deficit / too_small</t>
        </is>
      </c>
      <c r="D15" s="2" t="inlineStr">
        <is>
          <t>The client's fat-loss efforts are not effective due to a small caloric deficit.
The daily intake of 2700 kcal is above the target intake range of 1831-2271 kcal. The client is consuming 11 kcal less than maintenance, which is why the deficit label is 'too_small'. Protein intake is sufficient at 150 g, which is within the target range of 128-176 g.
Consider adjusting the client's daily caloric intake to align with the target range.</t>
        </is>
      </c>
      <c r="E15" s="4" t="inlineStr"/>
      <c r="F15" s="4" t="inlineStr"/>
      <c r="G15" s="2">
        <f>IF(AND(E15=1,F15=1),1,IF(OR(E15="",F15=""),"",0))</f>
        <v/>
      </c>
      <c r="H15" s="4" t="inlineStr"/>
    </row>
    <row r="16">
      <c r="A16" s="2" t="n">
        <v>15</v>
      </c>
      <c r="B16" s="2" t="inlineStr">
        <is>
          <t>P3</t>
        </is>
      </c>
      <c r="C16" s="2" t="inlineStr">
        <is>
          <t>• 缺口标签：appropriate
• 对记录误差敏感：±10% 误差下标签可能是 too_small / appropriate</t>
        </is>
      </c>
      <c r="D16" s="2" t="inlineStr">
        <is>
          <t>The client's fat-loss plan is on track with appropriate intake and protein levels.
The daily intake of 2200 kcal is within the target intake range of 1831-2271 kcal. The client is consuming 511 kcal less than maintenance, which aligns with the appropriate deficit label, as the target deficit is 440-880 kcal. Protein intake of 150 g is also sufficient, falling within the target range of 128-176 g.
Monitor the client's intake closely to ensure accuracy in logging.</t>
        </is>
      </c>
      <c r="E16" s="4" t="inlineStr"/>
      <c r="F16" s="4" t="inlineStr"/>
      <c r="G16" s="2">
        <f>IF(AND(E16=1,F16=1),1,IF(OR(E16="",F16=""),"",0))</f>
        <v/>
      </c>
      <c r="H16" s="4" t="inlineStr"/>
    </row>
    <row r="17">
      <c r="A17" s="2" t="n">
        <v>16</v>
      </c>
      <c r="B17" s="2" t="inlineStr">
        <is>
          <t>T2</t>
        </is>
      </c>
      <c r="C17" s="2" t="inlineStr">
        <is>
          <t>• 缺口标签：too_small
• 蛋白质不足</t>
        </is>
      </c>
      <c r="D17" s="2" t="inlineStr">
        <is>
          <t>The client is not in an adequate caloric deficit and has insufficient protein intake.
The daily intake of 1500 kcal is above the target intake range of 842-1254 kcal. Additionally, the protein intake of 100 g is below the target range of 120-165 g, indicating that protein is insufficient.
Consider adjusting the client's caloric intake and protein consumption to meet the target ranges.</t>
        </is>
      </c>
      <c r="E17" s="4" t="inlineStr"/>
      <c r="F17" s="4" t="inlineStr"/>
      <c r="G17" s="2">
        <f>IF(AND(E17=1,F17=1),1,IF(OR(E17="",F17=""),"",0))</f>
        <v/>
      </c>
      <c r="H17" s="4" t="inlineStr"/>
    </row>
    <row r="18">
      <c r="A18" s="2" t="n">
        <v>17</v>
      </c>
      <c r="B18" s="2" t="inlineStr">
        <is>
          <t>N752</t>
        </is>
      </c>
      <c r="C18" s="2" t="inlineStr">
        <is>
          <t>• 缺口标签：no_deficit
• 蛋白质未记录，无法评估</t>
        </is>
      </c>
      <c r="D18" s="2" t="inlineStr">
        <is>
          <t>The client is in a caloric surplus and needs to reduce intake.
Daily intake 3945 kcal is above the target intake range 1708-2057 kcal. The client eats 1539 kcal MORE than maintenance (2406 kcal): a surplus, so there is no deficit and the label is no_deficit.
Advise the client to reduce daily caloric intake to align with the target range.</t>
        </is>
      </c>
      <c r="E18" s="4" t="inlineStr"/>
      <c r="F18" s="4" t="inlineStr"/>
      <c r="G18" s="2">
        <f>IF(AND(E18=1,F18=1),1,IF(OR(E18="",F18=""),"",0))</f>
        <v/>
      </c>
      <c r="H18" s="4" t="inlineStr"/>
    </row>
    <row r="19">
      <c r="A19" s="2" t="n">
        <v>18</v>
      </c>
      <c r="B19" s="2" t="inlineStr">
        <is>
          <t>N736</t>
        </is>
      </c>
      <c r="C19" s="2" t="inlineStr">
        <is>
          <t>• 缺口标签：too_large
• 蛋白质未记录，无法评估
• 低于安全热量下限（女 1200 / 男 1500 kcal）
• 摄入低于 BMR（减脂期常见，本身不算问题）
• 需要教练复核</t>
        </is>
      </c>
      <c r="D19" s="2" t="inlineStr">
        <is>
          <t>Review needed due to excessive caloric deficit.
The client's daily intake of 1328 kcal is below the target intake range of 2304-2829 kcal and also below the 1500 kcal floor for male clients. Additionally, the deficit of 2025 kcal is significantly larger than the target deficit range of 525-1049 kcal, which raises concerns about sustainability and health.
Coach should review the client's intake and overall plan to ensure it aligns with safe fat-loss practices.</t>
        </is>
      </c>
      <c r="E19" s="4" t="inlineStr"/>
      <c r="F19" s="4" t="inlineStr"/>
      <c r="G19" s="2">
        <f>IF(AND(E19=1,F19=1),1,IF(OR(E19="",F19=""),"",0))</f>
        <v/>
      </c>
      <c r="H19" s="4" t="inlineStr"/>
    </row>
    <row r="20">
      <c r="A20" s="2" t="n">
        <v>19</v>
      </c>
      <c r="B20" s="2" t="inlineStr">
        <is>
          <t>B1</t>
        </is>
      </c>
      <c r="C20" s="2" t="inlineStr">
        <is>
          <t>• 缺口标签：appropriate
• 对记录误差敏感：±10% 误差下标签可能是 too_small / appropriate</t>
        </is>
      </c>
      <c r="D20" s="2" t="inlineStr">
        <is>
          <t>The client's fat-loss plan is on track with appropriate intake and sufficient protein.
Daily intake of 2260 kcal is within the target intake range of 1831-2271 kcal. The client is consuming 451 kcal less than maintenance, which is appropriate as it falls within the target deficit of 440-880 kcal. Protein intake of 150 g is also sufficient, being within the target range of 128-176 g.
Continue monitoring the client's intake and ensure logging accuracy.</t>
        </is>
      </c>
      <c r="E20" s="4" t="inlineStr"/>
      <c r="F20" s="4" t="inlineStr"/>
      <c r="G20" s="2">
        <f>IF(AND(E20=1,F20=1),1,IF(OR(E20="",F20=""),"",0))</f>
        <v/>
      </c>
      <c r="H20" s="4" t="inlineStr"/>
    </row>
    <row r="21">
      <c r="A21" s="2" t="n">
        <v>20</v>
      </c>
      <c r="B21" s="2" t="inlineStr">
        <is>
          <t>B3</t>
        </is>
      </c>
      <c r="C21" s="2" t="inlineStr">
        <is>
          <t>• 缺口标签：appropriate
• 对记录误差敏感：±10% 误差下标签可能是 appropriate / too_large</t>
        </is>
      </c>
      <c r="D21" s="2" t="inlineStr">
        <is>
          <t>Client's fat-loss plan is on track with appropriate intake and sufficient protein.
The daily intake of 1840 kcal is within the target intake range of 1830.6 to 2270.6 kcal. The client is consuming 871 kcal less than maintenance, which aligns with the appropriate deficit label, as it falls within the target deficit range of 440 to 880 kcal. Protein intake of 150 g is also within the target range of 128 to 176 g, indicating sufficient protein consumption.
Continue monitoring the client's intake and ensure logging accuracy.</t>
        </is>
      </c>
      <c r="E21" s="4" t="inlineStr"/>
      <c r="F21" s="4" t="inlineStr"/>
      <c r="G21" s="2">
        <f>IF(AND(E21=1,F21=1),1,IF(OR(E21="",F21=""),"",0))</f>
        <v/>
      </c>
      <c r="H21" s="4" t="inlineStr"/>
    </row>
  </sheetData>
  <dataValidations count="1">
    <dataValidation sqref="E2:F21" showDropDown="0" showInputMessage="0" showErrorMessage="0" allowBlank="0"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2026-09-28T04:17:56Z</dcterms:created>
  <dcterms:modified xmlns:dcterms="http://purl.org/dc/terms/" xmlns:xsi="http://www.w3.org/2001/XMLSchema-instance" xsi:type="dcterms:W3CDTF">2026-09-28T04:17:56Z</dcterms:modified>
</cp:coreProperties>
</file>