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560" activeTab="1"/>
  </bookViews>
  <sheets>
    <sheet name="评分说明" sheetId="1" r:id="rId1"/>
    <sheet name="评分"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<sst xmlns="http://schemas.openxmlformats.org/spreadsheetml/2006/main" count="141" uniqueCount="107">
  <si>
    <t>这一轮评什么（老师建议的指标）</t>
  </si>
  <si>
    <t/>
  </si>
  <si>
    <t>核心问题</t>
  </si>
  <si>
    <t>AI 写的建议，有没有把规则标出的每一个标记都说出来？有没有凭空编造规则没有标出的标记？</t>
  </si>
  <si>
    <t>1</t>
  </si>
  <si>
    <t>「规则标出的标记」一列列出了这个案例的全部标记，由代码生成，一定是对的。</t>
  </si>
  <si>
    <t>2</t>
  </si>
  <si>
    <t>「全部说到了？」：每一个标记在建议里都能找到（意思对就行，不要求原词）→ 1；漏了任何一个 → 0。</t>
  </si>
  <si>
    <t>3</t>
  </si>
  <si>
    <t>「没有编造？」：建议里没有出现规则之外的标记 → 1；有 → 0。编造的例子：说"蛋白质不足"但规则没标；说"需要复核"但规则没要求；说"缺口太大"但标签是 appropriate；把 appropriate 说成"吃太少"。</t>
  </si>
  <si>
    <t>4</t>
  </si>
  <si>
    <t>「总分」= 两项都是 1 才是 1，否则 0。有 0 的话在「你的理由」写一句。</t>
  </si>
  <si>
    <t>容易混淆的地方</t>
  </si>
  <si>
    <t>负数缺口</t>
  </si>
  <si>
    <t>"deficit of -90 kcal" = 多吃 90 kcal，不算错。</t>
  </si>
  <si>
    <t>too_small</t>
  </si>
  <si>
    <t>缺口太小 = 吃得偏多，"摄入高于目标范围"是正确说法。</t>
  </si>
  <si>
    <t>低于 BMR</t>
  </si>
  <si>
    <t>只要提到了就算说到；但如果因此建议 appropriate 的客户"多吃"，算编造（把它说成了问题）。</t>
  </si>
  <si>
    <t>对误差敏感</t>
  </si>
  <si>
    <t>提到"可能是另一个标签 / 记录误差 / 核对饮食记录"之一即可算说到。</t>
  </si>
  <si>
    <t>数字</t>
  </si>
  <si>
    <t>这一轮不单独检查数字（代码已检查过），只看标记。</t>
  </si>
  <si>
    <t>中文翻译</t>
  </si>
  <si>
    <t>E 列是 Claude 的直译，保留原文的错误和数字，仅供阅读。以 D 列英文为准。</t>
  </si>
  <si>
    <t>这一轮的不同之处</t>
  </si>
  <si>
    <t>① 蛋白质已移出范围，不再评。② 这 20 个案例全新，之前从未出现过。③ 建议由 v3 生成：AI 写完后，代码会把漏掉的标记补在第二段末尾（例如 "Intake logs are often 10% off..." 或 "Intake is below estimated BMR..." 这类句子可能是代码补的）。请按教练最终看到的整条建议来评，不用区分是谁写的。</t>
  </si>
  <si>
    <t>编号</t>
  </si>
  <si>
    <t>案例</t>
  </si>
  <si>
    <t>规则标出的标记</t>
  </si>
  <si>
    <t>教练看到的建议（英文原文）</t>
  </si>
  <si>
    <t>中文翻译（仅供阅读，以英文为准）</t>
  </si>
  <si>
    <t>全部说到了？(1/0)</t>
  </si>
  <si>
    <t>没有编造？(1/0)</t>
  </si>
  <si>
    <t>总分 (1/0)</t>
  </si>
  <si>
    <t>你的理由</t>
  </si>
  <si>
    <t>N500</t>
  </si>
  <si>
    <t>• 缺口标签：no_deficit（没有缺口，吃多了）
• 对记录误差敏感：±10% 误差下标签可能是 no_deficit / too_small</t>
  </si>
  <si>
    <t>The client is currently in a caloric surplus and not in a fat-loss deficit.
The daily intake of 1850 kcal is above the target intake range of 1170-1506 kcal. Additionally, the client is eating 8 kcal more than maintenance (1842 kcal), confirming the status of no deficit. Intake logs are often 10% off; within that error the label could be no_deficit or too_small, so check the food log before changing the plan.
Advise the client to reduce their daily caloric intake to align with the target range.</t>
  </si>
  <si>
    <t>客户目前处于热量盈余，没有处于减脂所需的热量缺口。
每日摄入 1850 kcal，高于目标摄入范围 1170-1506 kcal。此外，客户比维持热量（1842 kcal）多吃 8 kcal，确认处于无缺口状态。饮食记录的误差常在 10% 左右；在这个误差内，标签可能是 no_deficit 或 too_small，所以调整计划前请先核对饮食记录。
建议客户减少每日热量摄入，使其落入目标范围。</t>
  </si>
  <si>
    <t>N101</t>
  </si>
  <si>
    <t>• 缺口标签：too_large（缺口太大）
• 低于安全热量下限（女 1200 / 男 1500 kcal）
• 摄入低于 BMR（减脂期常见，本身不算问题）
• 需要教练复核</t>
  </si>
  <si>
    <t>Review needed due to large caloric deficit and low intake.
The client's daily intake of 1387 kcal is below the target intake range of 1781-2346 kcal and also below the 1500 kcal floor for male clients. Additionally, the client is consuming 1524 kcal less than maintenance, which is labeled as too large, indicating a significant deficit that requires careful consideration. Intake is below estimated BMR (2117 kcal); this is common in a fat-loss deficit and is not a problem on its own while intake stays above the safety floor.
Coach should review the client's intake and overall plan to ensure safety and effectiveness.</t>
  </si>
  <si>
    <t>需要复核：热量缺口大，摄入偏低。
客户每日摄入 1387 kcal，低于目标摄入范围 1781-2346 kcal，也低于男性客户 1500 kcal 的下限。此外，客户比维持热量少吃 1524 kcal，被标为 too large（过大），说明缺口很大，需要慎重考虑。摄入低于估算的 BMR（2117 kcal）；这在减脂期很常见，只要摄入不低于安全下限，本身不是问题。
教练应复核客户的摄入和整体计划，确保安全和有效。</t>
  </si>
  <si>
    <t>N187</t>
  </si>
  <si>
    <t>• 缺口标签：too_small（缺口太小）
• 对记录误差敏感：±10% 误差下标签可能是 no_deficit / too_small</t>
  </si>
  <si>
    <t>The client's fat-loss status is okay but the deficit is too small.
The daily intake of 2050 kcal is above the target intake range of 1372-1716 kcal. The client is eating 10 kcal less than maintenance (2060 kcal), which indicates the deficit is too small compared to the target deficit range of 344-689 kcal.
Consider reviewing the client's food logging accuracy and adjust intake accordingly.</t>
  </si>
  <si>
    <t>客户的减脂状态还可以，但缺口太小。
每日摄入 2050 kcal，高于目标摄入范围 1372-1716 kcal。客户比维持热量（2060 kcal）少吃 10 kcal，与目标缺口范围 344-689 kcal 相比，说明缺口太小。
可以考虑检查客户饮食记录的准确性，并相应调整摄入。</t>
  </si>
  <si>
    <t>N618</t>
  </si>
  <si>
    <t>• 缺口标签：appropriate（合适）
• 对记录误差敏感：±10% 误差下标签可能是 too_small / appropriate</t>
  </si>
  <si>
    <t>The client's fat-loss plan is appropriate.
Daily intake of 1362 kcal is within the target intake range of 1174-1476 kcal. The client is eating 416 kcal less than maintenance, which aligns with the target deficit of 302-604 kcal, confirming the label as appropriate.
Monitor the client's intake closely to ensure accuracy in logging.</t>
  </si>
  <si>
    <t>客户的减脂计划是合适的。
每日摄入 1362 kcal，在目标摄入范围 1174-1476 kcal 之内。客户比维持热量少吃 416 kcal，与目标缺口 302-604 kcal 相符，确认标签为 appropriate（合适）。
密切关注客户的摄入，确保记录准确。</t>
  </si>
  <si>
    <t>N336</t>
  </si>
  <si>
    <t>• 缺口标签：no_deficit（没有缺口，吃多了）</t>
  </si>
  <si>
    <t>The client is in a caloric surplus and needs to reduce intake.
The daily intake of 3736 kcal is above the target intake range of 1919-2210 kcal. The client eats 1236 kcal MORE than maintenance (2500 kcal), indicating a surplus, so there is no deficit and the label is no_deficit.
Advise the client to reduce daily caloric intake to align with the target range.</t>
  </si>
  <si>
    <t>客户处于热量盈余，需要减少摄入。
每日摄入 3736 kcal，高于目标摄入范围 1919-2210 kcal。客户比维持热量（2500 kcal）多吃 1236 kcal，属于盈余，因此没有热量缺口，标签为 no_deficit。
建议客户减少每日热量摄入，使其落入目标范围。</t>
  </si>
  <si>
    <t>N201</t>
  </si>
  <si>
    <t>The client is currently in a caloric surplus and needs to reduce intake.
The daily intake of 3003 kcal is above the target intake range of 1427-2039 kcal. The client eats 352 kcal MORE than maintenance, indicating a surplus, so there is no deficit and the label is no_deficit.
Advise the client to reduce daily caloric intake to align with the target range.</t>
  </si>
  <si>
    <t>客户目前处于热量盈余，需要减少摄入。
每日摄入 3003 kcal，高于目标摄入范围 1427-2039 kcal。客户比维持热量多吃 352 kcal，属于盈余，因此没有热量缺口，标签为 no_deficit。
建议客户减少每日热量摄入，使其落入目标范围。</t>
  </si>
  <si>
    <t>N469</t>
  </si>
  <si>
    <t>The client's caloric deficit is too small for effective fat loss.
The daily intake of 3559 kcal is above the target intake range of 2347-2962 kcal. Additionally, the client is eating 18 kcal less than maintenance, which indicates the deficit is too small compared to the target deficit range of 615-1230 kcal. Intake logs are often 10% off; within that error the label could be no_deficit or too_small, so check the food log before changing the plan.
Consider adjusting the client's daily caloric intake to align with the target intake range.</t>
  </si>
  <si>
    <t>客户的热量缺口太小，无法有效减脂。
每日摄入 3559 kcal，高于目标摄入范围 2347-2962 kcal。此外，客户比维持热量少吃 18 kcal，与目标缺口范围 615-1230 kcal 相比，说明缺口太小。饮食记录的误差常在 10% 左右；在这个误差内，标签可能是 no_deficit 或 too_small，所以调整计划前请先核对饮食记录。
可以考虑调整客户的每日热量摄入，使其落入目标摄入范围。</t>
  </si>
  <si>
    <t>N109</t>
  </si>
  <si>
    <t>• 缺口标签：appropriate（合适）
• 摄入低于 BMR（减脂期常见，本身不算问题）</t>
  </si>
  <si>
    <t>The client's fat-loss plan is on track and appropriate.
The daily intake of 2121 kcal is within the target intake range of 1870-2774 kcal. The client is eating 1556 kcal less than maintenance, which is appropriate as the target deficit is 903-1806 kcal. Intake is below estimated BMR (2674 kcal); this is common in a fat-loss deficit and is not a problem on its own while intake stays above the safety floor.
Continue monitoring the client's progress and ensure they maintain their current intake.</t>
  </si>
  <si>
    <t>客户的减脂计划进展正常，是合适的。
每日摄入 2121 kcal，在目标摄入范围 1870-2774 kcal 之内。客户比维持热量少吃 1556 kcal，是合适的，因为目标缺口是 903-1806 kcal。摄入低于估算的 BMR（2674 kcal）；这在减脂期很常见，只要摄入不低于安全下限，本身不是问题。
继续关注客户的进展，并确保客户保持目前的摄入。</t>
  </si>
  <si>
    <t>N785</t>
  </si>
  <si>
    <t>The client's fat-loss plan is on track and appropriate.
Daily intake of 1651 kcal is within the target intake range of 1333-1880 kcal. The client is eating 776 kcal less than maintenance, which is appropriate as it falls within the target deficit of 547-1093 kcal. Intake is below estimated BMR (1765 kcal); this is common in a fat-loss deficit and is not a problem on its own while intake stays above the safety floor.
Continue monitoring the client's progress and ensure they maintain their current intake.</t>
  </si>
  <si>
    <t>客户的减脂计划进展正常，是合适的。
每日摄入 1651 kcal，在目标摄入范围 1333-1880 kcal 之内。客户比维持热量少吃 776 kcal，落在目标缺口 547-1093 kcal 之内，是合适的。摄入低于估算的 BMR（1765 kcal）；这在减脂期很常见，只要摄入不低于安全下限，本身不是问题。
继续关注客户的进展，并确保客户保持目前的摄入。</t>
  </si>
  <si>
    <t>N164</t>
  </si>
  <si>
    <t>• 缺口标签：too_large（缺口太大）
• 摄入低于 BMR（减脂期常见，本身不算问题）</t>
  </si>
  <si>
    <t>The client's caloric intake is too low for effective fat loss.
Daily intake of 1253 kcal is below the target intake range of 1432-1908 kcal. The client is eating 1130 kcal less than maintenance (2383 kcal), which is significantly above the target deficit range of 475-950 kcal, leading to a 'too_large' deficit label. Intake is below estimated BMR (1537 kcal); this is common in a fat-loss deficit and is not a problem on its own while intake stays above the safety floor.
Consider adjusting the client's daily caloric intake to fall within the target intake range.</t>
  </si>
  <si>
    <t>客户的热量摄入太低，不利于有效减脂。
每日摄入 1253 kcal，低于目标摄入范围 1432-1908 kcal。客户比维持热量（2383 kcal）少吃 1130 kcal，明显高于目标缺口范围 475-950 kcal，因此缺口标签为 'too_large'。摄入低于估算的 BMR（1537 kcal）；这在减脂期很常见，只要摄入不低于安全下限，本身不是问题。
可以考虑调整客户的每日热量摄入，使其落入目标摄入范围。</t>
  </si>
  <si>
    <t>N305</t>
  </si>
  <si>
    <t>Review needed due to excessive caloric deficit.
The client's daily intake of 1162 kcal is below the target intake range of 1506.7-1879.6 kcal and also below the 1200 kcal floor for female clients. Additionally, the client is consuming 1090.5 kcal less than their maintenance level of 2252.5 kcal, which is labeled as too large for the deficit. Intake is below estimated BMR (1453 kcal); this is common in a fat-loss deficit and is not a problem on its own while intake stays above the safety floor.
Coach should review this case before acting, as the caloric deficit is significant and may require adjustments.</t>
  </si>
  <si>
    <t>需要复核：热量缺口过大。
客户每日摄入 1162 kcal，低于目标摄入范围 1506.7-1879.6 kcal，也低于女性客户 1200 kcal 的下限。此外，客户比维持热量 2252.5 kcal 少吃 1090.5 kcal，缺口被标为 too large（过大）。摄入低于估算的 BMR（1453 kcal）；这在减脂期很常见，只要摄入不低于安全下限，本身不是问题。
教练应在采取行动前复核这个案例，因为热量缺口很大，可能需要调整。</t>
  </si>
  <si>
    <t>N557</t>
  </si>
  <si>
    <t>• 缺口标签：no_deficit（没有缺口，吃多了）
• BMI &lt; 18.5，体重过轻
• 需要教练复核</t>
  </si>
  <si>
    <t>Client is currently in a caloric surplus and is underweight.
The daily intake of 1904 kcal is above the target intake range of 869.5 to 1108.8 kcal. Additionally, the BMI of 18.1 is below 18.5, indicating that fat loss is not an appropriate goal for this client.
Coach should review this case before acting, as the client is underweight and fat loss is not recommended.</t>
  </si>
  <si>
    <t>客户目前处于热量盈余，而且体重过轻。
每日摄入 1904 kcal，高于目标摄入范围 869.5 到 1108.8 kcal。此外，BMI 18.1 低于 18.5，说明减脂不是该客户合适的目标。
教练应在采取行动前复核这个案例，因为客户体重过轻，不建议减脂。</t>
  </si>
  <si>
    <t>N605</t>
  </si>
  <si>
    <t>Review needed due to excessive caloric deficit.
The client's daily intake of 897 kcal is below the target intake range of 1780-2594 kcal and also below the 1500 kcal floor for male clients. Additionally, the client is consuming 2512 kcal less than maintenance, which is labeled as too large compared to the target deficit range of 814-1629 kcal. Intake is below estimated BMR (2479 kcal); this is common in a fat-loss deficit and is not a problem on its own while intake stays above the safety floor.
Coach should review this case before acting, as the caloric deficit is excessive and may require adjustments.</t>
  </si>
  <si>
    <t>需要复核：热量缺口过大。
客户每日摄入 897 kcal，低于目标摄入范围 1780-2594 kcal，也低于男性客户 1500 kcal 的下限。此外，客户比维持热量少吃 2512 kcal，与目标缺口范围 814-1629 kcal 相比，被标为 too large（过大）。摄入低于估算的 BMR（2479 kcal）；这在减脂期很常见，只要摄入不低于安全下限，本身不是问题。
教练应在采取行动前复核这个案例，因为热量缺口过大，可能需要调整。</t>
  </si>
  <si>
    <t>N178</t>
  </si>
  <si>
    <t>The client's caloric deficit is too large and below the recommended intake range.
The daily intake of 1408 kcal is below the target intake range of 1638-2082 kcal. Additionally, the client is eating 1117 kcal less than maintenance, which is above the target deficit range of 443-887 kcal, leading to the label of too_large. Intake is below estimated BMR (1464 kcal); this is common in a fat-loss deficit and is not a problem on its own while intake stays above the safety floor.
Consider adjusting the client's caloric intake to align with the target intake range.</t>
  </si>
  <si>
    <t>客户的热量缺口太大，且低于推荐的摄入范围。
每日摄入 1408 kcal，低于目标摄入范围 1638-2082 kcal。此外，客户比维持热量少吃 1117 kcal，高于目标缺口范围 443-887 kcal，因此标签为 too_large。摄入低于估算的 BMR（1464 kcal）；这在减脂期很常见，只要摄入不低于安全下限，本身不是问题。
可以考虑调整客户的热量摄入，使其落入目标摄入范围。</t>
  </si>
  <si>
    <t>N325</t>
  </si>
  <si>
    <t>The client is in a caloric surplus and needs to reduce intake.
Daily intake 3865 kcal is above the target intake range 1685-2078 kcal. The client eats 1394 kcal MORE than maintenance (2472 kcal): a surplus, so there is no deficit and the label is no_deficit.
Advise the client to reduce daily caloric intake to align with the target range.</t>
  </si>
  <si>
    <t>客户处于热量盈余，需要减少摄入。
每日摄入 3865 kcal，高于目标摄入范围 1685-2078 kcal。客户比维持热量（2472 kcal）多吃 1394 kcal：属于盈余，因此没有热量缺口，标签为 no_deficit。
建议客户减少每日热量摄入，使其落入目标范围。</t>
  </si>
  <si>
    <t>N455</t>
  </si>
  <si>
    <t>• 缺口标签：too_small（缺口太小）</t>
  </si>
  <si>
    <t>The client's caloric deficit is too small for effective fat loss.
The daily intake of 1678 kcal is above the target intake range of 972-1477 kcal. Additionally, the client is eating 305 kcal less than maintenance, which is below the target deficit range of 505-1011 kcal, leading to the label of too_small.
Consider adjusting the client's daily caloric intake to align with the target intake range.</t>
  </si>
  <si>
    <t>客户的热量缺口太小，无法有效减脂。
每日摄入 1678 kcal，高于目标摄入范围 972-1477 kcal。此外，客户比维持热量少吃 305 kcal，低于目标缺口范围 505-1011 kcal，因此标签为 too_small。
可以考虑调整客户的每日热量摄入，使其落入目标摄入范围。</t>
  </si>
  <si>
    <t>N485</t>
  </si>
  <si>
    <t>Review needed due to excessive caloric deficit.
The client's daily intake of 862 kcal is below the target intake range of 1676-2271 kcal and also below the 1500 kcal floor for male clients. Additionally, the client is consuming 2004 kcal less than maintenance, which is labeled as too large, indicating a significant deficit that may require adjustment. Intake is below estimated BMR (2084 kcal); this is common in a fat-loss deficit and is not a problem on its own while intake stays above the safety floor.
Coach should review the client's intake and overall plan to ensure safety and effectiveness.</t>
  </si>
  <si>
    <t>需要复核：热量缺口过大。
客户每日摄入 862 kcal，低于目标摄入范围 1676-2271 kcal，也低于男性客户 1500 kcal 的下限。此外，客户比维持热量少吃 2004 kcal，被标为 too large（过大），说明缺口很大，可能需要调整。摄入低于估算的 BMR（2084 kcal）；这在减脂期很常见，只要摄入不低于安全下限，本身不是问题。
教练应复核客户的摄入和整体计划，确保安全和有效。</t>
  </si>
  <si>
    <t>N157</t>
  </si>
  <si>
    <t>• 缺口标签：too_small（缺口太小）
• 对记录误差敏感：±10% 误差下标签可能是 too_small / appropriate</t>
  </si>
  <si>
    <t>The client's caloric deficit is too small for effective fat loss.
The daily intake of 1773 kcal is above the target intake range of 1101.7 to 1614.8 kcal. Additionally, the client is eating 355 kcal less than maintenance, but the target deficit is 513.1 to 1026.3 kcal, indicating the deficit is too small. Intake logs are often 10% off; within that error the label could be too_small or appropriate, so check the food log before changing the plan.
Consider adjusting the client's daily caloric intake to align with the target intake range.</t>
  </si>
  <si>
    <t>客户的热量缺口太小，无法有效减脂。
每日摄入 1773 kcal，高于目标摄入范围 1101.7 到 1614.8 kcal。此外，客户比维持热量少吃 355 kcal，但目标缺口是 513.1 到 1026.3 kcal，说明缺口太小。饮食记录的误差常在 10% 左右；在这个误差内，标签可能是 too_small 或 appropriate，所以调整计划前请先核对饮食记录。
可以考虑调整客户的每日热量摄入，使其落入目标摄入范围。</t>
  </si>
  <si>
    <t>N359</t>
  </si>
  <si>
    <t>• 缺口标签：too_small（缺口太小）
• 对记录误差敏感：±10% 误差下标签可能是 too_small / appropriate
• BMI &lt; 18.5，体重过轻
• 需要教练复核</t>
  </si>
  <si>
    <t>Review needed before proceeding with fat loss goals.
The client's daily intake of 1377 kcal is above the target intake range of 1075-1339 kcal. Additionally, the BMI of 18.5 is below 18.5, indicating that fat loss is not an appropriate goal. Given these factors, the case requires human review to ensure safe and effective guidance. Verdict: the client is in a deficit that is too small for meaningful fat loss.
Review the client's intake logs and overall goals before making any recommendations.</t>
  </si>
  <si>
    <t>在推进减脂目标之前需要复核。
客户每日摄入 1377 kcal，高于目标摄入范围 1075-1339 kcal。此外，BMI 18.5 低于 18.5，说明减脂不是合适的目标。考虑到这些因素，该案例需要人工复核，以确保指导安全有效。结论：客户处于热量缺口，但缺口太小，不足以有效减脂。
在给出任何建议之前，复核客户的摄入记录和整体目标。</t>
  </si>
  <si>
    <t>N231</t>
  </si>
  <si>
    <t>The client's fat-loss deficit is too small.
The daily intake of 1999 kcal is above the target intake range of 1508-1878 kcal. The client is eating 249 kcal less than maintenance, but the target deficit is 370-740 kcal, indicating that the current deficit is too small.
Consider reviewing the client's intake logging for accuracy.</t>
  </si>
  <si>
    <t>客户的减脂缺口太小。
每日摄入 1999 kcal，高于目标摄入范围 1508-1878 kcal。客户比维持热量少吃 249 kcal，但目标缺口是 370-740 kcal，说明目前的缺口太小。
可以考虑检查客户饮食记录的准确性。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</si>
</sst>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4">
    <xf numFmtId="0" fontId="0" fillId="0" borderId="0" xfId="49"/>
    <xf numFmtId="0" fontId="1" fillId="0" borderId="0" xfId="49" applyFont="1" applyAlignment="1">
      <alignment vertical="top" wrapText="1"/>
    </xf>
    <xf numFmtId="0" fontId="0" fillId="0" borderId="0" xfId="49" applyAlignment="1">
      <alignment vertical="top" wrapText="1"/>
    </xf>
    <xf numFmtId="0" fontId="0" fillId="2" borderId="0" xfId="49" applyFill="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29" sqref="A29"/>
    </sheetView>
  </sheetViews>
  <sheetFormatPr defaultColWidth="9" defaultRowHeight="16.8" outlineLevelCol="1"/>
  <cols>
    <col min="1" max="1" width="30" customWidth="1"/>
    <col min="2" max="2" width="110" customWidth="1"/>
  </cols>
  <sheetData>
    <row r="1" ht="17" spans="1:2">
      <c r="A1" s="2" t="s">
        <v>0</v>
      </c>
      <c r="B1" s="2" t="s">
        <v>1</v>
      </c>
    </row>
    <row r="2" ht="17" spans="1:2">
      <c r="A2" s="2" t="s">
        <v>2</v>
      </c>
      <c r="B2" s="2" t="s">
        <v>3</v>
      </c>
    </row>
    <row r="3" ht="17" spans="1:2">
      <c r="A3" s="2" t="s">
        <v>4</v>
      </c>
      <c r="B3" s="2" t="s">
        <v>5</v>
      </c>
    </row>
    <row r="4" ht="17" spans="1:2">
      <c r="A4" s="2" t="s">
        <v>6</v>
      </c>
      <c r="B4" s="2" t="s">
        <v>7</v>
      </c>
    </row>
    <row r="5" ht="34" spans="1:2">
      <c r="A5" s="2" t="s">
        <v>8</v>
      </c>
      <c r="B5" s="2" t="s">
        <v>9</v>
      </c>
    </row>
    <row r="6" ht="17" spans="1:2">
      <c r="A6" s="2" t="s">
        <v>10</v>
      </c>
      <c r="B6" s="2" t="s">
        <v>11</v>
      </c>
    </row>
    <row r="7" ht="17" spans="1:2">
      <c r="A7" s="2" t="s">
        <v>1</v>
      </c>
      <c r="B7" s="2" t="s">
        <v>1</v>
      </c>
    </row>
    <row r="8" ht="17" spans="1:2">
      <c r="A8" s="2" t="s">
        <v>12</v>
      </c>
      <c r="B8" s="2" t="s">
        <v>1</v>
      </c>
    </row>
    <row r="9" ht="17" spans="1:2">
      <c r="A9" s="2" t="s">
        <v>13</v>
      </c>
      <c r="B9" s="2" t="s">
        <v>14</v>
      </c>
    </row>
    <row r="10" ht="17" spans="1:2">
      <c r="A10" s="2" t="s">
        <v>15</v>
      </c>
      <c r="B10" s="2" t="s">
        <v>16</v>
      </c>
    </row>
    <row r="11" ht="17" spans="1:2">
      <c r="A11" s="2" t="s">
        <v>17</v>
      </c>
      <c r="B11" s="2" t="s">
        <v>18</v>
      </c>
    </row>
    <row r="12" ht="17" spans="1:2">
      <c r="A12" s="2" t="s">
        <v>19</v>
      </c>
      <c r="B12" s="2" t="s">
        <v>20</v>
      </c>
    </row>
    <row r="13" ht="17" spans="1:2">
      <c r="A13" s="2" t="s">
        <v>21</v>
      </c>
      <c r="B13" s="2" t="s">
        <v>22</v>
      </c>
    </row>
    <row r="14" ht="17" spans="1:2">
      <c r="A14" s="2" t="s">
        <v>23</v>
      </c>
      <c r="B14" s="2" t="s">
        <v>24</v>
      </c>
    </row>
    <row r="15" ht="17" spans="1:2">
      <c r="A15" s="2" t="s">
        <v>1</v>
      </c>
      <c r="B15" s="2" t="s">
        <v>1</v>
      </c>
    </row>
    <row r="16" ht="51" spans="1:2">
      <c r="A16" s="1" t="s">
        <v>25</v>
      </c>
      <c r="B16" s="2" t="s">
        <v>26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workbookViewId="0">
      <pane xSplit="2" ySplit="1" topLeftCell="D17" activePane="bottomRight" state="frozen"/>
      <selection/>
      <selection pane="topRight"/>
      <selection pane="bottomLeft"/>
      <selection pane="bottomRight" activeCell="F10" sqref="F10"/>
    </sheetView>
  </sheetViews>
  <sheetFormatPr defaultColWidth="9" defaultRowHeight="16.8"/>
  <cols>
    <col min="1" max="1" width="6" customWidth="1"/>
    <col min="2" max="2" width="7" customWidth="1"/>
    <col min="3" max="3" width="40" customWidth="1"/>
    <col min="4" max="4" width="62" customWidth="1"/>
    <col min="5" max="5" width="52" customWidth="1"/>
    <col min="6" max="7" width="12" customWidth="1"/>
    <col min="8" max="8" width="10" customWidth="1"/>
    <col min="9" max="9" width="34" customWidth="1"/>
  </cols>
  <sheetData>
    <row r="1" ht="34" spans="1:9">
      <c r="A1" s="1" t="s">
        <v>27</v>
      </c>
      <c r="B1" s="1" t="s">
        <v>28</v>
      </c>
      <c r="C1" s="1" t="s">
        <v>29</v>
      </c>
      <c r="D1" s="1" t="s">
        <v>30</v>
      </c>
      <c r="E1" s="1" t="s">
        <v>31</v>
      </c>
      <c r="F1" s="1" t="s">
        <v>32</v>
      </c>
      <c r="G1" s="1" t="s">
        <v>33</v>
      </c>
      <c r="H1" s="1" t="s">
        <v>34</v>
      </c>
      <c r="I1" s="1" t="s">
        <v>35</v>
      </c>
    </row>
    <row r="2" ht="135" spans="1:9">
      <c r="A2" s="2">
        <v>1</v>
      </c>
      <c r="B2" s="2" t="s">
        <v>36</v>
      </c>
      <c r="C2" s="2" t="s">
        <v>37</v>
      </c>
      <c r="D2" s="2" t="s">
        <v>38</v>
      </c>
      <c r="E2" s="2" t="s">
        <v>39</v>
      </c>
      <c r="F2" s="3">
        <v>1</v>
      </c>
      <c r="G2" s="3">
        <v>1</v>
      </c>
      <c r="H2" s="2">
        <f t="shared" ref="H2:H21" si="0">IF(COUNT(F2:G2)=2,F2*G2,"")</f>
        <v>1</v>
      </c>
      <c r="I2" s="3" t="s">
        <v>1</v>
      </c>
    </row>
    <row r="3" ht="152" spans="1:9">
      <c r="A3" s="2">
        <v>2</v>
      </c>
      <c r="B3" s="2" t="s">
        <v>40</v>
      </c>
      <c r="C3" s="2" t="s">
        <v>41</v>
      </c>
      <c r="D3" s="2" t="s">
        <v>42</v>
      </c>
      <c r="E3" s="2" t="s">
        <v>43</v>
      </c>
      <c r="F3" s="3">
        <v>1</v>
      </c>
      <c r="G3" s="3">
        <v>1</v>
      </c>
      <c r="H3" s="2">
        <f t="shared" si="0"/>
        <v>1</v>
      </c>
      <c r="I3" s="3" t="s">
        <v>1</v>
      </c>
    </row>
    <row r="4" ht="118" spans="1:9">
      <c r="A4" s="2">
        <v>3</v>
      </c>
      <c r="B4" s="2" t="s">
        <v>44</v>
      </c>
      <c r="C4" s="2" t="s">
        <v>45</v>
      </c>
      <c r="D4" s="2" t="s">
        <v>46</v>
      </c>
      <c r="E4" s="2" t="s">
        <v>47</v>
      </c>
      <c r="F4" s="3">
        <v>1</v>
      </c>
      <c r="G4" s="3">
        <v>1</v>
      </c>
      <c r="H4" s="2">
        <f t="shared" si="0"/>
        <v>1</v>
      </c>
      <c r="I4" s="3" t="s">
        <v>1</v>
      </c>
    </row>
    <row r="5" ht="84" spans="1:9">
      <c r="A5" s="2">
        <v>4</v>
      </c>
      <c r="B5" s="2" t="s">
        <v>48</v>
      </c>
      <c r="C5" s="2" t="s">
        <v>49</v>
      </c>
      <c r="D5" s="2" t="s">
        <v>50</v>
      </c>
      <c r="E5" s="2" t="s">
        <v>51</v>
      </c>
      <c r="F5" s="3">
        <v>1</v>
      </c>
      <c r="G5" s="3">
        <v>1</v>
      </c>
      <c r="H5" s="2">
        <f t="shared" si="0"/>
        <v>1</v>
      </c>
      <c r="I5" s="3" t="s">
        <v>1</v>
      </c>
    </row>
    <row r="6" ht="84" spans="1:9">
      <c r="A6" s="2">
        <v>5</v>
      </c>
      <c r="B6" s="2" t="s">
        <v>52</v>
      </c>
      <c r="C6" s="2" t="s">
        <v>53</v>
      </c>
      <c r="D6" s="2" t="s">
        <v>54</v>
      </c>
      <c r="E6" s="2" t="s">
        <v>55</v>
      </c>
      <c r="F6" s="3">
        <v>1</v>
      </c>
      <c r="G6" s="3">
        <v>1</v>
      </c>
      <c r="H6" s="2">
        <f t="shared" si="0"/>
        <v>1</v>
      </c>
      <c r="I6" s="3" t="s">
        <v>1</v>
      </c>
    </row>
    <row r="7" ht="84" spans="1:9">
      <c r="A7" s="2">
        <v>6</v>
      </c>
      <c r="B7" s="2" t="s">
        <v>56</v>
      </c>
      <c r="C7" s="2" t="s">
        <v>53</v>
      </c>
      <c r="D7" s="2" t="s">
        <v>57</v>
      </c>
      <c r="E7" s="2" t="s">
        <v>58</v>
      </c>
      <c r="F7" s="3">
        <v>1</v>
      </c>
      <c r="G7" s="3">
        <v>1</v>
      </c>
      <c r="H7" s="2">
        <f t="shared" si="0"/>
        <v>1</v>
      </c>
      <c r="I7" s="3" t="s">
        <v>1</v>
      </c>
    </row>
    <row r="8" ht="135" spans="1:9">
      <c r="A8" s="2">
        <v>7</v>
      </c>
      <c r="B8" s="2" t="s">
        <v>59</v>
      </c>
      <c r="C8" s="2" t="s">
        <v>45</v>
      </c>
      <c r="D8" s="2" t="s">
        <v>60</v>
      </c>
      <c r="E8" s="2" t="s">
        <v>61</v>
      </c>
      <c r="F8" s="3">
        <v>1</v>
      </c>
      <c r="G8" s="3">
        <v>1</v>
      </c>
      <c r="H8" s="2">
        <f t="shared" si="0"/>
        <v>1</v>
      </c>
      <c r="I8" s="3" t="s">
        <v>1</v>
      </c>
    </row>
    <row r="9" ht="135" spans="1:9">
      <c r="A9" s="2">
        <v>8</v>
      </c>
      <c r="B9" s="2" t="s">
        <v>62</v>
      </c>
      <c r="C9" s="2" t="s">
        <v>63</v>
      </c>
      <c r="D9" s="2" t="s">
        <v>64</v>
      </c>
      <c r="E9" s="2" t="s">
        <v>65</v>
      </c>
      <c r="F9" s="3">
        <v>1</v>
      </c>
      <c r="G9" s="3">
        <v>1</v>
      </c>
      <c r="H9" s="2">
        <f t="shared" si="0"/>
        <v>1</v>
      </c>
      <c r="I9" s="3" t="s">
        <v>1</v>
      </c>
    </row>
    <row r="10" ht="135" spans="1:9">
      <c r="A10" s="2">
        <v>9</v>
      </c>
      <c r="B10" s="2" t="s">
        <v>66</v>
      </c>
      <c r="C10" s="2" t="s">
        <v>63</v>
      </c>
      <c r="D10" s="2" t="s">
        <v>67</v>
      </c>
      <c r="E10" s="2" t="s">
        <v>68</v>
      </c>
      <c r="F10" s="3">
        <v>1</v>
      </c>
      <c r="G10" s="3">
        <v>1</v>
      </c>
      <c r="H10" s="2">
        <f t="shared" si="0"/>
        <v>1</v>
      </c>
      <c r="I10" s="3" t="s">
        <v>1</v>
      </c>
    </row>
    <row r="11" ht="152" spans="1:9">
      <c r="A11" s="2">
        <v>10</v>
      </c>
      <c r="B11" s="2" t="s">
        <v>69</v>
      </c>
      <c r="C11" s="2" t="s">
        <v>70</v>
      </c>
      <c r="D11" s="2" t="s">
        <v>71</v>
      </c>
      <c r="E11" s="2" t="s">
        <v>72</v>
      </c>
      <c r="F11" s="3">
        <v>1</v>
      </c>
      <c r="G11" s="3">
        <v>1</v>
      </c>
      <c r="H11" s="2">
        <f t="shared" si="0"/>
        <v>1</v>
      </c>
      <c r="I11" s="3" t="s">
        <v>1</v>
      </c>
    </row>
    <row r="12" ht="152" spans="1:9">
      <c r="A12" s="2">
        <v>11</v>
      </c>
      <c r="B12" s="2" t="s">
        <v>73</v>
      </c>
      <c r="C12" s="2" t="s">
        <v>41</v>
      </c>
      <c r="D12" s="2" t="s">
        <v>74</v>
      </c>
      <c r="E12" s="2" t="s">
        <v>75</v>
      </c>
      <c r="F12" s="3">
        <v>1</v>
      </c>
      <c r="G12" s="3">
        <v>1</v>
      </c>
      <c r="H12" s="2">
        <f t="shared" si="0"/>
        <v>1</v>
      </c>
      <c r="I12" s="3" t="s">
        <v>1</v>
      </c>
    </row>
    <row r="13" ht="101" spans="1:9">
      <c r="A13" s="2">
        <v>12</v>
      </c>
      <c r="B13" s="2" t="s">
        <v>76</v>
      </c>
      <c r="C13" s="2" t="s">
        <v>77</v>
      </c>
      <c r="D13" s="2" t="s">
        <v>78</v>
      </c>
      <c r="E13" s="2" t="s">
        <v>79</v>
      </c>
      <c r="F13" s="3">
        <v>1</v>
      </c>
      <c r="G13" s="3">
        <v>1</v>
      </c>
      <c r="H13" s="2">
        <f t="shared" si="0"/>
        <v>1</v>
      </c>
      <c r="I13" s="3" t="s">
        <v>1</v>
      </c>
    </row>
    <row r="14" ht="152" spans="1:9">
      <c r="A14" s="2">
        <v>13</v>
      </c>
      <c r="B14" s="2" t="s">
        <v>80</v>
      </c>
      <c r="C14" s="2" t="s">
        <v>41</v>
      </c>
      <c r="D14" s="2" t="s">
        <v>81</v>
      </c>
      <c r="E14" s="2" t="s">
        <v>82</v>
      </c>
      <c r="F14" s="3">
        <v>1</v>
      </c>
      <c r="G14" s="3">
        <v>1</v>
      </c>
      <c r="H14" s="2">
        <f t="shared" si="0"/>
        <v>1</v>
      </c>
      <c r="I14" s="3" t="s">
        <v>1</v>
      </c>
    </row>
    <row r="15" ht="168" spans="1:9">
      <c r="A15" s="2">
        <v>14</v>
      </c>
      <c r="B15" s="2" t="s">
        <v>83</v>
      </c>
      <c r="C15" s="2" t="s">
        <v>70</v>
      </c>
      <c r="D15" s="2" t="s">
        <v>84</v>
      </c>
      <c r="E15" s="2" t="s">
        <v>85</v>
      </c>
      <c r="F15" s="3">
        <v>1</v>
      </c>
      <c r="G15" s="3">
        <v>1</v>
      </c>
      <c r="H15" s="2">
        <f t="shared" si="0"/>
        <v>1</v>
      </c>
      <c r="I15" s="3" t="s">
        <v>1</v>
      </c>
    </row>
    <row r="16" ht="84" spans="1:9">
      <c r="A16" s="2">
        <v>15</v>
      </c>
      <c r="B16" s="2" t="s">
        <v>86</v>
      </c>
      <c r="C16" s="2" t="s">
        <v>53</v>
      </c>
      <c r="D16" s="2" t="s">
        <v>87</v>
      </c>
      <c r="E16" s="2" t="s">
        <v>88</v>
      </c>
      <c r="F16" s="3">
        <v>1</v>
      </c>
      <c r="G16" s="3">
        <v>1</v>
      </c>
      <c r="H16" s="2">
        <f t="shared" si="0"/>
        <v>1</v>
      </c>
      <c r="I16" s="3" t="s">
        <v>1</v>
      </c>
    </row>
    <row r="17" ht="118" spans="1:9">
      <c r="A17" s="2">
        <v>16</v>
      </c>
      <c r="B17" s="2" t="s">
        <v>89</v>
      </c>
      <c r="C17" s="2" t="s">
        <v>90</v>
      </c>
      <c r="D17" s="2" t="s">
        <v>91</v>
      </c>
      <c r="E17" s="2" t="s">
        <v>92</v>
      </c>
      <c r="F17" s="3">
        <v>1</v>
      </c>
      <c r="G17" s="3">
        <v>1</v>
      </c>
      <c r="H17" s="2">
        <f t="shared" si="0"/>
        <v>1</v>
      </c>
      <c r="I17" s="3" t="s">
        <v>1</v>
      </c>
    </row>
    <row r="18" ht="152" spans="1:9">
      <c r="A18" s="2">
        <v>17</v>
      </c>
      <c r="B18" s="2" t="s">
        <v>93</v>
      </c>
      <c r="C18" s="2" t="s">
        <v>41</v>
      </c>
      <c r="D18" s="2" t="s">
        <v>94</v>
      </c>
      <c r="E18" s="2" t="s">
        <v>95</v>
      </c>
      <c r="F18" s="3">
        <v>1</v>
      </c>
      <c r="G18" s="3">
        <v>1</v>
      </c>
      <c r="H18" s="2">
        <f t="shared" si="0"/>
        <v>1</v>
      </c>
      <c r="I18" s="3" t="s">
        <v>1</v>
      </c>
    </row>
    <row r="19" ht="135" spans="1:9">
      <c r="A19" s="2">
        <v>18</v>
      </c>
      <c r="B19" s="2" t="s">
        <v>96</v>
      </c>
      <c r="C19" s="2" t="s">
        <v>97</v>
      </c>
      <c r="D19" s="2" t="s">
        <v>98</v>
      </c>
      <c r="E19" s="2" t="s">
        <v>99</v>
      </c>
      <c r="F19" s="3">
        <v>1</v>
      </c>
      <c r="G19" s="3">
        <v>1</v>
      </c>
      <c r="H19" s="2">
        <f t="shared" si="0"/>
        <v>1</v>
      </c>
      <c r="I19" s="3" t="s">
        <v>1</v>
      </c>
    </row>
    <row r="20" ht="135" spans="1:9">
      <c r="A20" s="2">
        <v>19</v>
      </c>
      <c r="B20" s="2" t="s">
        <v>100</v>
      </c>
      <c r="C20" s="2" t="s">
        <v>101</v>
      </c>
      <c r="D20" s="2" t="s">
        <v>102</v>
      </c>
      <c r="E20" s="2" t="s">
        <v>103</v>
      </c>
      <c r="F20" s="3">
        <v>1</v>
      </c>
      <c r="G20" s="3">
        <v>1</v>
      </c>
      <c r="H20" s="2">
        <f t="shared" si="0"/>
        <v>1</v>
      </c>
      <c r="I20" s="3" t="s">
        <v>1</v>
      </c>
    </row>
    <row r="21" ht="84" spans="1:9">
      <c r="A21" s="2">
        <v>20</v>
      </c>
      <c r="B21" s="2" t="s">
        <v>104</v>
      </c>
      <c r="C21" s="2" t="s">
        <v>97</v>
      </c>
      <c r="D21" s="2" t="s">
        <v>105</v>
      </c>
      <c r="E21" s="2" t="s">
        <v>106</v>
      </c>
      <c r="F21" s="3">
        <v>1</v>
      </c>
      <c r="G21" s="3">
        <v>1</v>
      </c>
      <c r="H21" s="2">
        <f t="shared" si="0"/>
        <v>1</v>
      </c>
      <c r="I21" s="3" t="s">
        <v>1</v>
      </c>
    </row>
  </sheetData>
  <dataValidations count="1">
    <dataValidation type="list" sqref="F2:G21">
      <formula1>"1,0"</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评分说明</vt:lpstr>
      <vt:lpstr>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LZY.</cp:lastModifiedBy>
  <dcterms:created xsi:type="dcterms:W3CDTF">2026-09-29T03:28:00Z</dcterms:created>
  <dcterms:modified xsi:type="dcterms:W3CDTF">2026-09-28T19:32:28Z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C771D13048FEB87D7C4FBA6AA5337F4B_43</vt:lpwstr>
  </property>
  <property fmtid="{D5CDD505-2E9C-101B-9397-08002B2CF9AE}" pid="3" name="KSOProductBuildVer">
    <vt:lpwstr>2052-6.7.1.8828</vt:lpwstr>
  </property>
</Properties>
</file>