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activeTab="1"/>
  </bookViews>
  <sheets>
    <sheet name="评分说明" sheetId="1" r:id="rId1"/>
    <sheet name="评分"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<sst xmlns="http://schemas.openxmlformats.org/spreadsheetml/2006/main" count="136" uniqueCount="119">
  <si>
    <t>这一轮评什么（老师建议的指标）</t>
  </si>
  <si>
    <t/>
  </si>
  <si>
    <t>核心问题</t>
  </si>
  <si>
    <t>AI 写的建议，有没有把规则标出的每一个标记都说出来？有没有凭空编造规则没有标出的标记？</t>
  </si>
  <si>
    <t>1</t>
  </si>
  <si>
    <t>「规则标出的标记」一列列出了这个案例的全部标记，由代码生成，一定是对的。</t>
  </si>
  <si>
    <t>2</t>
  </si>
  <si>
    <t>「全部说到了？」：每一个标记在建议里都能找到（意思对就行，不要求原词）→ 1；漏了任何一个 → 0。</t>
  </si>
  <si>
    <t>3</t>
  </si>
  <si>
    <t>「没有编造？」：建议里没有出现规则之外的标记 → 1；有 → 0。编造的例子：说"蛋白质不足"但规则没标；说"需要复核"但规则没要求；说"缺口太大"但标签是 appropriate；把 appropriate 说成"吃太少"。</t>
  </si>
  <si>
    <t>4</t>
  </si>
  <si>
    <t>「总分」= 两项都是 1 才是 1，否则 0。有 0 的话在「你的理由」写一句。</t>
  </si>
  <si>
    <t>容易混淆的地方</t>
  </si>
  <si>
    <t>负数缺口</t>
  </si>
  <si>
    <t>"deficit of -90 kcal" = 多吃 90 kcal，不算错。</t>
  </si>
  <si>
    <t>too_small</t>
  </si>
  <si>
    <t>缺口太小 = 吃得偏多，"摄入高于目标范围"是正确说法。</t>
  </si>
  <si>
    <t>低于 BMR</t>
  </si>
  <si>
    <t>只要提到了就算说到；但如果因此建议 appropriate 的客户"多吃"，算编造（把它说成了问题）。</t>
  </si>
  <si>
    <t>对误差敏感</t>
  </si>
  <si>
    <t>提到"可能是另一个标签 / 记录误差 / 核对饮食记录"之一即可算说到。</t>
  </si>
  <si>
    <t>数字</t>
  </si>
  <si>
    <t>这一轮不单独检查数字（代码已检查过），只看标记。</t>
  </si>
  <si>
    <t>中文翻译</t>
  </si>
  <si>
    <t>E 列是 Claude 的直译，保留了原文的错误和数字，仅供阅读。如有疑问以 D 列英文为准。</t>
  </si>
  <si>
    <t>编号</t>
  </si>
  <si>
    <t>案例</t>
  </si>
  <si>
    <t>规则标出的标记</t>
  </si>
  <si>
    <t>AI 写的建议（英文原文）</t>
  </si>
  <si>
    <t>中文翻译（仅供阅读，以英文为准）</t>
  </si>
  <si>
    <t>全部说到了？(1/0)</t>
  </si>
  <si>
    <t>没有编造？(1/0)</t>
  </si>
  <si>
    <t>总分 (1/0)</t>
  </si>
  <si>
    <t>你的理由</t>
  </si>
  <si>
    <t>N513</t>
  </si>
  <si>
    <t>• 缺口标签：no_deficit
• 蛋白质未记录，无法评估</t>
  </si>
  <si>
    <t>The client is currently in a caloric surplus and needs to reduce intake.
Daily intake of 3177 kcal is above the target intake range of 997-1373 kcal. The client eats 1428 kcal MORE than maintenance (1750 kcal), indicating a surplus, so there is no deficit and the label is no_deficit.
Advise the client to reduce daily caloric intake to align with the target range.</t>
  </si>
  <si>
    <t>客户目前处于热量盈余，需要减少摄入。
每日摄入 3177 kcal，高于目标摄入范围 997-1373 kcal。客户比维持热量（1750 kcal）多吃 1428 kcal，属于盈余，因此没有热量缺口，标签为 no_deficit。
建议客户减少每日热量摄入，使其落入目标范围。</t>
  </si>
  <si>
    <t>没有给出蛋白质未记录</t>
  </si>
  <si>
    <t>S1</t>
  </si>
  <si>
    <t>• 缺口标签：too_large
• 蛋白质不足
• 低于安全热量下限（女 1200 / 男 1500 kcal）
• 摄入低于 BMR（减脂期常见，本身不算问题）
• 需要教练复核</t>
  </si>
  <si>
    <t>Review needed due to significant caloric deficit and insufficient protein intake.
The client has a daily intake of 1000 kcal, which is below the target intake range of 1183-1513 kcal and also below the 1200 kcal floor for female clients. Additionally, the protein intake of 60 g is below the target range of 96-132 g, indicating insufficient protein consumption.
Coach should review the client's case to address the large caloric deficit and protein insufficiency before making any adjustments.</t>
  </si>
  <si>
    <t>需要复核：热量缺口很大，且蛋白质摄入不足。
客户每日摄入 1000 kcal，低于目标摄入范围 1183-1513 kcal，也低于女性客户 1200 kcal 的下限。此外，蛋白质摄入 60 g，低于目标范围 96-132 g，说明蛋白质摄入不足。
教练应先复核该客户的情况，处理过大的热量缺口和蛋白质不足问题，再做任何调整。</t>
  </si>
  <si>
    <t>N370</t>
  </si>
  <si>
    <t>• 缺口标签：appropriate
• 蛋白质未记录，无法评估
• 对记录误差敏感：±10% 误差下标签可能是 appropriate / too_large
• 低于安全热量下限（女 1200 / 男 1500 kcal）
• 摄入低于 BMR（减脂期常见，本身不算问题）
• 需要教练复核</t>
  </si>
  <si>
    <t>Review needed due to low confidence in assessment accuracy.
The client's daily intake of 1317 kcal is within the target intake range of 1216-1698 kcal, and the deficit of 861.8 kcal is appropriate compared to the maintenance level. However, the intake is below the 1500 kcal floor for male clients and below the estimated BMR of 1816 kcal, which raises concerns about the accuracy of the logged intake.
Coach should review the client's intake logs and overall dietary habits before making any adjustments.</t>
  </si>
  <si>
    <t>需要复核：对评估准确性的信心较低。
客户每日摄入 1317 kcal，在目标摄入范围 1216-1698 kcal 之内；相对于维持热量，861.8 kcal 的缺口是合适的。但是，摄入低于男性客户 1500 kcal 的下限，也低于估算的 BMR 1816 kcal，这让人怀疑所记录摄入量的准确性。
教练应先复核客户的摄入记录和整体饮食习惯，再做任何调整。</t>
  </si>
  <si>
    <t>P1</t>
  </si>
  <si>
    <t>• 缺口标签：appropriate
• 蛋白质不足</t>
  </si>
  <si>
    <t>The client's fat-loss plan is on track but protein intake is insufficient.
The daily intake of 1650 kcal is within the target intake range of 1447-1832 kcal. The client consumes 80 g of protein, which is below the target range of 112-154 g, indicating that protein intake is insufficient.
Consider adjusting the client's protein intake to meet the target range.</t>
  </si>
  <si>
    <t>客户的减脂计划进展正常，但蛋白质摄入不足。
每日摄入 1650 kcal，在目标摄入范围 1447-1832 kcal 之内。客户摄入 80 g 蛋白质，低于目标范围 112-154 g，说明蛋白质摄入不足。
可以考虑调整客户的蛋白质摄入，使其达到目标范围。</t>
  </si>
  <si>
    <t>P4</t>
  </si>
  <si>
    <t>• 缺口标签：appropriate
• 蛋白质未记录，无法评估
• 对记录误差敏感：±10% 误差下标签可能是 too_small / appropriate</t>
  </si>
  <si>
    <t>Client's fat-loss plan is on track with an appropriate deficit.
The daily intake of 2200 kcal is within the target intake range of 1831-2271 kcal. The client is consuming 511 kcal less than maintenance, which aligns with the appropriate deficit label since the target deficit is 440-880 kcal.
Monitor the client's progress and ensure they log their protein intake for better assessment.</t>
  </si>
  <si>
    <t>客户的减脂计划进展正常，热量缺口合适。
每日摄入 2200 kcal，在目标摄入范围 1831-2271 kcal 之内。客户比维持热量少吃 511 kcal，与 appropriate（合适）的缺口标签一致，因为目标缺口是 440-880 kcal。
持续关注客户的进展，并确保客户记录蛋白质摄入，以便更好地评估。</t>
  </si>
  <si>
    <t>仅要求补记蛋白质，未提到热量记录误差可能改变缺口标签，也未要求核对热量记录。</t>
  </si>
  <si>
    <t>P2</t>
  </si>
  <si>
    <t>• 缺口标签：appropriate
• 对记录误差敏感：±10% 误差下标签可能是 too_small / appropriate</t>
  </si>
  <si>
    <t>The client's fat-loss plan is on track but requires monitoring.
The daily intake of 2200 kcal is within the target intake range of 1831-2271 kcal. The client is consuming 511 kcal less than maintenance, which is appropriate as it falls within the target deficit of 440-880 kcal. However, the confidence level is low, indicating potential issues with intake logging.
Monitor the client's food logging closely to ensure accuracy.</t>
  </si>
  <si>
    <t>客户的减脂计划进展正常，但需要持续关注。
每日摄入 2200 kcal，在目标摄入范围 1831-2271 kcal 之内。客户比维持热量少吃 511 kcal，落在目标缺口 440-880 kcal 之内，是合适的。但是，置信度较低，说明摄入记录可能存在问题。
密切关注客户的饮食记录，确保准确。</t>
  </si>
  <si>
    <t>N798</t>
  </si>
  <si>
    <t>• 缺口标签：appropriate
• 蛋白质未记录，无法评估
• 对记录误差敏感：±10% 误差下标签可能是 appropriate / too_large
• 摄入低于 BMR（减脂期常见，本身不算问题）</t>
  </si>
  <si>
    <t>The client's fat-loss plan appears appropriate based on current intake and deficit.
The daily intake of 1571 kcal is within the target intake range of 1470-1955 kcal. The client is consuming 868 kcal less than maintenance, which aligns with the appropriate deficit label, and the intake is below the estimated BMR of 1574 kcal, which is common in fat-loss scenarios.
Monitor the client's protein intake and ensure it is logged for future assessments.</t>
  </si>
  <si>
    <t>根据目前的摄入和缺口，客户的减脂计划看起来是合适的。
每日摄入 1571 kcal，在目标摄入范围 1470-1955 kcal 之内。客户比维持热量少吃 868 kcal，与 appropriate（合适）的缺口标签一致；摄入低于估算的 BMR 1574 kcal，这在减脂中很常见。
关注客户的蛋白质摄入，并确保记录下来，以便今后评估。</t>
  </si>
  <si>
    <t>仅要求记录蛋白质，未提到热量记录误差敏感或核对饮食记录。</t>
  </si>
  <si>
    <t>N182</t>
  </si>
  <si>
    <t>• 缺口标签：too_small
• 蛋白质未记录，无法评估
• 对记录误差敏感：±10% 误差下标签可能是 too_small / appropriate</t>
  </si>
  <si>
    <t>The client's caloric deficit is too small for effective fat loss.
The daily intake of 3186 kcal is above the target intake range of 2395.7-3006.7 kcal. The client is eating 431.8 kcal less than maintenance, while the target deficit is 611.1-1222.1 kcal, indicating the deficit is too small.
Consider adjusting the client's caloric intake to align with the target deficit range.</t>
  </si>
  <si>
    <t>客户的热量缺口太小，无法有效减脂。
每日摄入 3186 kcal，高于目标摄入范围 2395.7-3006.7 kcal。客户比维持热量少吃 431.8 kcal，而目标缺口是 611.1-1222.1 kcal，说明缺口太小。
可以考虑调整客户的热量摄入，使缺口落入目标范围。</t>
  </si>
  <si>
    <t>未说明蛋白质未记录，也未提到记录误差敏感或核对饮食记录。</t>
  </si>
  <si>
    <t>S3</t>
  </si>
  <si>
    <t>• 缺口标签：appropriate
• 对记录误差敏感：±10% 误差下标签可能是 too_small / appropriate
• BMI &lt; 18.5，体重过轻
• 需要教练复核</t>
  </si>
  <si>
    <t>Review needed due to underweight status and low confidence in intake accuracy.
The client's BMI of 16.5 is below 18.5, indicating underweight status, and fat loss is not an appropriate goal. Additionally, the confidence in the assessment is low, suggesting that if intake is logged 10% off, the label could be too_small or appropriate.
Coach should review the client's case to determine the best course of action regarding their fat-loss goals.</t>
  </si>
  <si>
    <t>需要复核：客户体重过轻，且对摄入准确性的信心较低。
客户 BMI 16.5，低于 18.5，属于体重过轻，减脂不是合适的目标。此外，评估的置信度较低：如果摄入记录偏差 10%，标签可能是 too_small 或 appropriate。
教练应复核该客户的情况，决定其减脂目标的最佳处理方式。</t>
  </si>
  <si>
    <t>说明了体重过轻和复核，但未说当前热量缺口标签为 appropriate。</t>
  </si>
  <si>
    <t>T1</t>
  </si>
  <si>
    <t>• 缺口标签：no_deficit
• 蛋白质不足</t>
  </si>
  <si>
    <t>The client is in a caloric surplus and has insufficient protein intake.
Daily intake of 3200 kcal is above the target intake range of 1574-2097 kcal. The client eats 581 kcal MORE than maintenance, indicating a surplus, and protein intake of 140 g is below the target of 152-209 g, which is insufficient.
Advise the client to reduce daily caloric intake and increase protein consumption.</t>
  </si>
  <si>
    <t>客户处于热量盈余，且蛋白质摄入不足。
每日摄入 3200 kcal，高于目标摄入范围 1574-2097 kcal。客户比维持热量多吃 581 kcal，属于盈余；蛋白质摄入 140 g，低于目标 152-209 g，属于不足。
建议客户减少每日热量摄入，并增加蛋白质摄入。</t>
  </si>
  <si>
    <t>S2</t>
  </si>
  <si>
    <t>• 缺口标签：appropriate
• 对记录误差敏感：±10% 误差下标签可能是 appropriate / too_large
• 低于安全热量下限（女 1200 / 男 1500 kcal）
• 摄入低于 BMR（减脂期常见，本身不算问题）
• 需要教练复核</t>
  </si>
  <si>
    <t>Review needed due to low confidence in assessment.
The client's daily intake of 1300 kcal is within the target intake range of 1208-1594 kcal and the deficit of 678 kcal is appropriate compared to the maintenance level. However, the intake is below the 1500 kcal floor for male clients and below the estimated BMR of 1649 kcal, which raises concerns about sustainability and safety.
Coach should review the client's intake logs and overall progress before making any changes.</t>
  </si>
  <si>
    <t>需要复核：对评估的信心较低。
客户每日摄入 1300 kcal，在目标摄入范围 1208-1594 kcal 之内；相对于维持热量，678 kcal 的缺口是合适的。但是，摄入低于男性客户 1500 kcal 的下限，也低于估算的 BMR 1649 kcal，这引发了对可持续性和安全性的担忧。
教练应先复核客户的摄入记录和整体进展，再做任何改变。</t>
  </si>
  <si>
    <t>N604</t>
  </si>
  <si>
    <t>• 缺口标签：too_small
• 蛋白质未记录，无法评估
• 对记录误差敏感：±10% 误差下标签可能是 no_deficit / too_small</t>
  </si>
  <si>
    <t>The client's caloric intake is too high for fat loss.
Daily intake of 2271 kcal is above the target intake range of 1239-1772 kcal. The client is currently eating 33 kcal less than maintenance, which is labeled as too_small compared to the target deficit range of 532-1065 kcal.
Consider discussing the client's daily intake and logging practices to ensure accurate tracking.</t>
  </si>
  <si>
    <t>客户的热量摄入对减脂来说太高了。
每日摄入 2271 kcal，高于目标摄入范围 1239-1772 kcal。客户目前比维持热量少吃 33 kcal，与目标缺口范围 532-1065 kcal 相比，被标为 too_small。
可以考虑和客户讨论其每日摄入和记录习惯，确保记录准确。</t>
  </si>
  <si>
    <t>未说明蛋白质未记录、因此无法评估。</t>
  </si>
  <si>
    <t>S4</t>
  </si>
  <si>
    <t>• 缺口标签：too_large
• 低于安全热量下限（女 1200 / 男 1500 kcal）
• 摄入低于 BMR（减脂期常见，本身不算问题）
• 需要教练复核</t>
  </si>
  <si>
    <t>Review needed due to excessive caloric deficit.
The client's daily intake of 1400 kcal is below the target intake range of 2550-2990 kcal and is also below the 1500 kcal floor for male clients. Additionally, the client is consuming 2030 kcal less than maintenance, which is labeled as too large, indicating a significant deficit that may require adjustment.
Coach should review the client's caloric intake and overall plan before making any changes.</t>
  </si>
  <si>
    <t>需要复核：热量缺口过大。
客户每日摄入 1400 kcal，低于目标摄入范围 2550-2990 kcal，也低于男性客户 1500 kcal 的下限。此外，客户比维持热量少吃 2030 kcal，被标为 too large（过大），说明缺口很大，可能需要调整。
教练应先复核客户的热量摄入和整体计划，再做任何改变。</t>
  </si>
  <si>
    <t>B2</t>
  </si>
  <si>
    <t>• 缺口标签：too_small
• 对记录误差敏感：±10% 误差下标签可能是 no_deficit / too_small</t>
  </si>
  <si>
    <t>The client's fat-loss efforts are not effective due to a small caloric deficit.
The daily intake of 2700 kcal is above the target intake range of 1831-2271 kcal. The client is consuming 11 kcal less than maintenance, which is why the deficit label is 'too_small'. Protein intake is sufficient at 150 g, which is within the target range of 128-176 g.
Consider adjusting the client's daily caloric intake to align with the target range.</t>
  </si>
  <si>
    <t>由于热量缺口很小，客户的减脂努力效果不佳。
每日摄入 2700 kcal，高于目标摄入范围 1831-2271 kcal。客户比维持热量少吃 11 kcal，所以缺口标签是 'too_small'。蛋白质摄入 150 g，在目标范围 128-176 g 之内，是充足的。
可以考虑调整客户的每日热量摄入，使其落入目标范围。</t>
  </si>
  <si>
    <t>未提到记录误差敏感或需要核对饮食记录。</t>
  </si>
  <si>
    <t>P3</t>
  </si>
  <si>
    <t>The client's fat-loss plan is on track with appropriate intake and protein levels.
The daily intake of 2200 kcal is within the target intake range of 1831-2271 kcal. The client is consuming 511 kcal less than maintenance, which aligns with the appropriate deficit label, as the target deficit is 440-880 kcal. Protein intake of 150 g is also sufficient, falling within the target range of 128-176 g.
Monitor the client's intake closely to ensure accuracy in logging.</t>
  </si>
  <si>
    <t>客户的减脂计划进展正常，摄入量和蛋白质水平都合适。
每日摄入 2200 kcal，在目标摄入范围 1831-2271 kcal 之内。客户比维持热量少吃 511 kcal，与 appropriate（合适）的缺口标签一致，因为目标缺口是 440-880 kcal。蛋白质摄入 150 g 也是充足的，落在目标范围 128-176 g 之内。
密切关注客户的摄入，确保记录准确。</t>
  </si>
  <si>
    <t>T2</t>
  </si>
  <si>
    <t>• 缺口标签：too_small
• 蛋白质不足</t>
  </si>
  <si>
    <t>The client is not in an adequate caloric deficit and has insufficient protein intake.
The daily intake of 1500 kcal is above the target intake range of 842-1254 kcal. Additionally, the protein intake of 100 g is below the target range of 120-165 g, indicating that protein is insufficient.
Consider adjusting the client's caloric intake and protein consumption to meet the target ranges.</t>
  </si>
  <si>
    <t>客户没有处于足够的热量缺口，且蛋白质摄入不足。
每日摄入 1500 kcal，高于目标摄入范围 842-1254 kcal。此外，蛋白质摄入 100 g，低于目标范围 120-165 g，说明蛋白质不足。
可以考虑调整客户的热量摄入和蛋白质摄入，使其达到目标范围。</t>
  </si>
  <si>
    <t>N752</t>
  </si>
  <si>
    <t>The client is in a caloric surplus and needs to reduce intake.
Daily intake 3945 kcal is above the target intake range 1708-2057 kcal. The client eats 1539 kcal MORE than maintenance (2406 kcal): a surplus, so there is no deficit and the label is no_deficit.
Advise the client to reduce daily caloric intake to align with the target range.</t>
  </si>
  <si>
    <t>客户处于热量盈余，需要减少摄入。
每日摄入 3945 kcal，高于目标摄入范围 1708-2057 kcal。客户比维持热量（2406 kcal）多吃 1539 kcal：属于盈余，因此没有热量缺口，标签为 no_deficit。
建议客户减少每日热量摄入，使其落入目标范围。</t>
  </si>
  <si>
    <t>N736</t>
  </si>
  <si>
    <t>• 缺口标签：too_large
• 蛋白质未记录，无法评估
• 低于安全热量下限（女 1200 / 男 1500 kcal）
• 摄入低于 BMR（减脂期常见，本身不算问题）
• 需要教练复核</t>
  </si>
  <si>
    <t>Review needed due to excessive caloric deficit.
The client's daily intake of 1328 kcal is below the target intake range of 2304-2829 kcal and also below the 1500 kcal floor for male clients. Additionally, the deficit of 2025 kcal is significantly larger than the target deficit range of 525-1049 kcal, which raises concerns about sustainability and health.
Coach should review the client's intake and overall plan to ensure it aligns with safe fat-loss practices.</t>
  </si>
  <si>
    <t>需要复核：热量缺口过大。
客户每日摄入 1328 kcal，低于目标摄入范围 2304-2829 kcal，也低于男性客户 1500 kcal 的下限。此外，2025 kcal 的缺口明显大于目标缺口范围 525-1049 kcal，这引发了对可持续性和健康的担忧。
教练应复核客户的摄入和整体计划，确保符合安全的减脂做法。</t>
  </si>
  <si>
    <t>未说明蛋白质未记录</t>
  </si>
  <si>
    <t>B1</t>
  </si>
  <si>
    <t>The client's fat-loss plan is on track with appropriate intake and sufficient protein.
Daily intake of 2260 kcal is within the target intake range of 1831-2271 kcal. The client is consuming 451 kcal less than maintenance, which is appropriate as it falls within the target deficit of 440-880 kcal. Protein intake of 150 g is also sufficient, being within the target range of 128-176 g.
Continue monitoring the client's intake and ensure logging accuracy.</t>
  </si>
  <si>
    <t>客户的减脂计划进展正常，摄入量合适，蛋白质充足。
每日摄入 2260 kcal，在目标摄入范围 1831-2271 kcal 之内。客户比维持热量少吃 451 kcal，落在目标缺口 440-880 kcal 之内，是合适的。蛋白质摄入 150 g 也是充足的，在目标范围 128-176 g 之内。
继续关注客户的摄入，并确保记录准确。</t>
  </si>
  <si>
    <t>B3</t>
  </si>
  <si>
    <t>• 缺口标签：appropriate
• 对记录误差敏感：±10% 误差下标签可能是 appropriate / too_large</t>
  </si>
  <si>
    <t>Client's fat-loss plan is on track with appropriate intake and sufficient protein.
The daily intake of 1840 kcal is within the target intake range of 1830.6 to 2270.6 kcal. The client is consuming 871 kcal less than maintenance, which aligns with the appropriate deficit label, as it falls within the target deficit range of 440 to 880 kcal. Protein intake of 150 g is also within the target range of 128 to 176 g, indicating sufficient protein consumption.
Continue monitoring the client's intake and ensure logging accuracy.</t>
  </si>
  <si>
    <t>客户的减脂计划进展正常，摄入量合适，蛋白质充足。
每日摄入 1840 kcal，在目标摄入范围 1830.6 到 2270.6 kcal 之内。客户比维持热量少吃 871 kcal，与 appropriate（合适）的缺口标签一致，因为它落在目标缺口范围 440 到 880 kcal 之内。蛋白质摄入 150 g 也在目标范围 128 到 176 g 之内，说明蛋白质摄入充足。
继续关注客户的摄入，并确保记录准确。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</si>
</sst>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name val="宋体"/>
      <charset val="134"/>
      <scheme val="minor"/>
    </font>
    <font>
      <sz val="11"/>
      <color theme="1"/>
      <name val="Calibri"/>
      <charset val="134"/>
    </font>
    <font>
      <sz val="11"/>
      <color theme="1"/>
      <name val="宋体-简"/>
      <charset val="134"/>
    </font>
    <font>
      <b/>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 fillId="0" borderId="0"/>
  </cellStyleXfs>
  <cellXfs count="8">
    <xf numFmtId="0" fontId="0" fillId="0" borderId="0" xfId="0"/>
    <xf numFmtId="0" fontId="1" fillId="0" borderId="0" xfId="0" applyFont="1" applyAlignment="1">
      <alignment vertical="top" wrapText="1"/>
    </xf>
    <xf numFmtId="0" fontId="0" fillId="0" borderId="0" xfId="0" applyAlignment="1">
      <alignment vertical="top" wrapText="1"/>
    </xf>
    <xf numFmtId="0" fontId="0" fillId="2" borderId="0" xfId="0" applyFill="1" applyAlignment="1">
      <alignment vertical="top" wrapText="1"/>
    </xf>
    <xf numFmtId="0" fontId="2" fillId="2" borderId="0" xfId="49" applyFill="1" applyAlignment="1">
      <alignment vertical="top" wrapText="1"/>
    </xf>
    <xf numFmtId="0" fontId="2" fillId="0" borderId="0" xfId="49" applyAlignment="1">
      <alignment vertical="top" wrapText="1"/>
    </xf>
    <xf numFmtId="0" fontId="3" fillId="2" borderId="0" xfId="49" applyFont="1" applyFill="1" applyAlignment="1">
      <alignment vertical="top" wrapText="1"/>
    </xf>
    <xf numFmtId="0" fontId="4" fillId="0" borderId="0" xfId="0" applyFont="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workbookViewId="0">
      <selection activeCell="A1" sqref="A1"/>
    </sheetView>
  </sheetViews>
  <sheetFormatPr defaultColWidth="9" defaultRowHeight="16.8" outlineLevelCol="1"/>
  <cols>
    <col min="1" max="1" width="30" customWidth="1"/>
    <col min="2" max="2" width="110" customWidth="1"/>
  </cols>
  <sheetData>
    <row r="1" ht="36" spans="1:2">
      <c r="A1" s="7" t="s">
        <v>0</v>
      </c>
      <c r="B1" s="2" t="s">
        <v>1</v>
      </c>
    </row>
    <row r="2" ht="17" spans="1:2">
      <c r="A2" s="2" t="s">
        <v>2</v>
      </c>
      <c r="B2" s="2" t="s">
        <v>3</v>
      </c>
    </row>
    <row r="3" ht="17" spans="1:2">
      <c r="A3" s="2" t="s">
        <v>4</v>
      </c>
      <c r="B3" s="2" t="s">
        <v>5</v>
      </c>
    </row>
    <row r="4" ht="17" spans="1:2">
      <c r="A4" s="2" t="s">
        <v>6</v>
      </c>
      <c r="B4" s="2" t="s">
        <v>7</v>
      </c>
    </row>
    <row r="5" ht="34" spans="1:2">
      <c r="A5" s="2" t="s">
        <v>8</v>
      </c>
      <c r="B5" s="2" t="s">
        <v>9</v>
      </c>
    </row>
    <row r="6" ht="17" spans="1:2">
      <c r="A6" s="2" t="s">
        <v>10</v>
      </c>
      <c r="B6" s="2" t="s">
        <v>11</v>
      </c>
    </row>
    <row r="7" ht="17" spans="1:2">
      <c r="A7" s="2" t="s">
        <v>1</v>
      </c>
      <c r="B7" s="2" t="s">
        <v>1</v>
      </c>
    </row>
    <row r="8" ht="18" spans="1:2">
      <c r="A8" s="7" t="s">
        <v>12</v>
      </c>
      <c r="B8" s="2" t="s">
        <v>1</v>
      </c>
    </row>
    <row r="9" ht="17" spans="1:2">
      <c r="A9" s="2" t="s">
        <v>13</v>
      </c>
      <c r="B9" s="2" t="s">
        <v>14</v>
      </c>
    </row>
    <row r="10" ht="17" spans="1:2">
      <c r="A10" s="2" t="s">
        <v>15</v>
      </c>
      <c r="B10" s="2" t="s">
        <v>16</v>
      </c>
    </row>
    <row r="11" ht="17" spans="1:2">
      <c r="A11" s="2" t="s">
        <v>17</v>
      </c>
      <c r="B11" s="2" t="s">
        <v>18</v>
      </c>
    </row>
    <row r="12" ht="17" spans="1:2">
      <c r="A12" s="2" t="s">
        <v>19</v>
      </c>
      <c r="B12" s="2" t="s">
        <v>20</v>
      </c>
    </row>
    <row r="13" ht="17" spans="1:2">
      <c r="A13" s="2" t="s">
        <v>21</v>
      </c>
      <c r="B13" s="2" t="s">
        <v>22</v>
      </c>
    </row>
    <row r="14" ht="17" spans="1:2">
      <c r="A14" s="2" t="s">
        <v>23</v>
      </c>
      <c r="B14" s="2" t="s">
        <v>24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tabSelected="1" workbookViewId="0">
      <pane xSplit="2" ySplit="1" topLeftCell="C19" activePane="bottomRight" state="frozen"/>
      <selection/>
      <selection pane="topRight"/>
      <selection pane="bottomLeft"/>
      <selection pane="bottomRight" activeCell="I19" sqref="I19"/>
    </sheetView>
  </sheetViews>
  <sheetFormatPr defaultColWidth="9" defaultRowHeight="16.8"/>
  <cols>
    <col min="1" max="1" width="6" customWidth="1"/>
    <col min="2" max="2" width="7" customWidth="1"/>
    <col min="3" max="3" width="49.5096153846154" customWidth="1"/>
    <col min="4" max="4" width="31.0865384615385" customWidth="1"/>
    <col min="5" max="5" width="52" customWidth="1"/>
    <col min="6" max="7" width="12" customWidth="1"/>
    <col min="8" max="8" width="10" customWidth="1"/>
    <col min="9" max="9" width="34" customWidth="1"/>
  </cols>
  <sheetData>
    <row r="1" ht="34" spans="1:9">
      <c r="A1" s="1" t="s">
        <v>25</v>
      </c>
      <c r="B1" s="1" t="s">
        <v>26</v>
      </c>
      <c r="C1" s="1" t="s">
        <v>27</v>
      </c>
      <c r="D1" s="1" t="s">
        <v>28</v>
      </c>
      <c r="E1" s="1" t="s">
        <v>29</v>
      </c>
      <c r="F1" s="1" t="s">
        <v>30</v>
      </c>
      <c r="G1" s="1" t="s">
        <v>31</v>
      </c>
      <c r="H1" s="1" t="s">
        <v>32</v>
      </c>
      <c r="I1" s="1" t="s">
        <v>33</v>
      </c>
    </row>
    <row r="2" ht="101" spans="1:9">
      <c r="A2" s="2">
        <v>1</v>
      </c>
      <c r="B2" s="2" t="s">
        <v>34</v>
      </c>
      <c r="C2" s="2" t="s">
        <v>35</v>
      </c>
      <c r="D2" s="2" t="s">
        <v>36</v>
      </c>
      <c r="E2" s="2" t="s">
        <v>37</v>
      </c>
      <c r="F2" s="3">
        <v>0</v>
      </c>
      <c r="G2" s="3">
        <v>1</v>
      </c>
      <c r="H2" s="2">
        <f>IF(AND(F2=1,G2=1),1,IF(OR(F2="",G2=""),"",0))</f>
        <v>0</v>
      </c>
      <c r="I2" s="3" t="s">
        <v>38</v>
      </c>
    </row>
    <row r="3" ht="135" spans="1:9">
      <c r="A3" s="2">
        <v>2</v>
      </c>
      <c r="B3" s="2" t="s">
        <v>39</v>
      </c>
      <c r="C3" s="2" t="s">
        <v>40</v>
      </c>
      <c r="D3" s="2" t="s">
        <v>41</v>
      </c>
      <c r="E3" s="2" t="s">
        <v>42</v>
      </c>
      <c r="F3" s="3">
        <v>1</v>
      </c>
      <c r="G3" s="3">
        <v>1</v>
      </c>
      <c r="H3" s="2">
        <f>IF(AND(F3=1,G3=1),1,IF(OR(F3="",G3=""),"",0))</f>
        <v>1</v>
      </c>
      <c r="I3" s="3" t="s">
        <v>1</v>
      </c>
    </row>
    <row r="4" ht="152" spans="1:9">
      <c r="A4" s="2">
        <v>3</v>
      </c>
      <c r="B4" s="2" t="s">
        <v>43</v>
      </c>
      <c r="C4" s="2" t="s">
        <v>44</v>
      </c>
      <c r="D4" s="2" t="s">
        <v>45</v>
      </c>
      <c r="E4" s="2" t="s">
        <v>46</v>
      </c>
      <c r="F4" s="3">
        <v>0</v>
      </c>
      <c r="G4" s="3">
        <v>1</v>
      </c>
      <c r="H4" s="2">
        <f>IF(AND(F4=1,G4=1),1,IF(OR(F4="",G4=""),"",0))</f>
        <v>0</v>
      </c>
      <c r="I4" s="3" t="s">
        <v>38</v>
      </c>
    </row>
    <row r="5" ht="219" spans="1:9">
      <c r="A5" s="2">
        <v>4</v>
      </c>
      <c r="B5" s="2" t="s">
        <v>47</v>
      </c>
      <c r="C5" s="2" t="s">
        <v>48</v>
      </c>
      <c r="D5" s="2" t="s">
        <v>49</v>
      </c>
      <c r="E5" s="2" t="s">
        <v>50</v>
      </c>
      <c r="F5" s="3">
        <v>1</v>
      </c>
      <c r="G5" s="3">
        <v>1</v>
      </c>
      <c r="H5" s="2">
        <f>IF(AND(F5=1,G5=1),1,IF(OR(F5="",G5=""),"",0))</f>
        <v>1</v>
      </c>
      <c r="I5" s="3" t="s">
        <v>1</v>
      </c>
    </row>
    <row r="6" ht="202" spans="1:9">
      <c r="A6" s="2">
        <v>5</v>
      </c>
      <c r="B6" s="2" t="s">
        <v>51</v>
      </c>
      <c r="C6" s="2" t="s">
        <v>52</v>
      </c>
      <c r="D6" s="2" t="s">
        <v>53</v>
      </c>
      <c r="E6" s="2" t="s">
        <v>54</v>
      </c>
      <c r="F6" s="3">
        <v>0</v>
      </c>
      <c r="G6" s="3">
        <v>1</v>
      </c>
      <c r="H6" s="2">
        <f>IF(AND(F6=1,G6=1),1,IF(OR(F6="",G6=""),"",0))</f>
        <v>0</v>
      </c>
      <c r="I6" s="4" t="s">
        <v>55</v>
      </c>
    </row>
    <row r="7" ht="236" spans="1:9">
      <c r="A7" s="2">
        <v>6</v>
      </c>
      <c r="B7" s="2" t="s">
        <v>56</v>
      </c>
      <c r="C7" s="2" t="s">
        <v>57</v>
      </c>
      <c r="D7" s="2" t="s">
        <v>58</v>
      </c>
      <c r="E7" s="2" t="s">
        <v>59</v>
      </c>
      <c r="F7" s="4">
        <v>1</v>
      </c>
      <c r="G7" s="4">
        <v>1</v>
      </c>
      <c r="H7" s="5">
        <f t="shared" ref="H7:H21" si="0">IF(COUNT(F7:G7)=2,F7*G7,"")</f>
        <v>1</v>
      </c>
      <c r="I7" s="4" t="s">
        <v>1</v>
      </c>
    </row>
    <row r="8" ht="252" spans="1:9">
      <c r="A8" s="2">
        <v>7</v>
      </c>
      <c r="B8" s="2" t="s">
        <v>60</v>
      </c>
      <c r="C8" s="2" t="s">
        <v>61</v>
      </c>
      <c r="D8" s="2" t="s">
        <v>62</v>
      </c>
      <c r="E8" s="2" t="s">
        <v>63</v>
      </c>
      <c r="F8" s="4">
        <v>0</v>
      </c>
      <c r="G8" s="4">
        <v>1</v>
      </c>
      <c r="H8" s="5">
        <f t="shared" si="0"/>
        <v>0</v>
      </c>
      <c r="I8" s="4" t="s">
        <v>64</v>
      </c>
    </row>
    <row r="9" ht="202" spans="1:9">
      <c r="A9" s="2">
        <v>8</v>
      </c>
      <c r="B9" s="2" t="s">
        <v>65</v>
      </c>
      <c r="C9" s="2" t="s">
        <v>66</v>
      </c>
      <c r="D9" s="2" t="s">
        <v>67</v>
      </c>
      <c r="E9" s="2" t="s">
        <v>68</v>
      </c>
      <c r="F9" s="4">
        <v>0</v>
      </c>
      <c r="G9" s="4">
        <v>1</v>
      </c>
      <c r="H9" s="5">
        <f t="shared" si="0"/>
        <v>0</v>
      </c>
      <c r="I9" s="4" t="s">
        <v>69</v>
      </c>
    </row>
    <row r="10" ht="252" spans="1:9">
      <c r="A10" s="2">
        <v>9</v>
      </c>
      <c r="B10" s="2" t="s">
        <v>70</v>
      </c>
      <c r="C10" s="2" t="s">
        <v>71</v>
      </c>
      <c r="D10" s="2" t="s">
        <v>72</v>
      </c>
      <c r="E10" s="2" t="s">
        <v>73</v>
      </c>
      <c r="F10" s="4">
        <v>0</v>
      </c>
      <c r="G10" s="4">
        <v>1</v>
      </c>
      <c r="H10" s="5">
        <f t="shared" si="0"/>
        <v>0</v>
      </c>
      <c r="I10" s="4" t="s">
        <v>74</v>
      </c>
    </row>
    <row r="11" ht="219" spans="1:9">
      <c r="A11" s="2">
        <v>10</v>
      </c>
      <c r="B11" s="2" t="s">
        <v>75</v>
      </c>
      <c r="C11" s="2" t="s">
        <v>76</v>
      </c>
      <c r="D11" s="2" t="s">
        <v>77</v>
      </c>
      <c r="E11" s="2" t="s">
        <v>78</v>
      </c>
      <c r="F11" s="4">
        <v>1</v>
      </c>
      <c r="G11" s="4">
        <v>1</v>
      </c>
      <c r="H11" s="5">
        <f t="shared" si="0"/>
        <v>1</v>
      </c>
      <c r="I11" s="4" t="s">
        <v>1</v>
      </c>
    </row>
    <row r="12" ht="269" spans="1:9">
      <c r="A12" s="2">
        <v>11</v>
      </c>
      <c r="B12" s="2" t="s">
        <v>79</v>
      </c>
      <c r="C12" s="2" t="s">
        <v>80</v>
      </c>
      <c r="D12" s="2" t="s">
        <v>81</v>
      </c>
      <c r="E12" s="2" t="s">
        <v>82</v>
      </c>
      <c r="F12" s="4">
        <v>1</v>
      </c>
      <c r="G12" s="4">
        <v>1</v>
      </c>
      <c r="H12" s="5">
        <f t="shared" si="0"/>
        <v>1</v>
      </c>
      <c r="I12" s="4" t="s">
        <v>1</v>
      </c>
    </row>
    <row r="13" ht="202" spans="1:9">
      <c r="A13" s="2">
        <v>12</v>
      </c>
      <c r="B13" s="2" t="s">
        <v>83</v>
      </c>
      <c r="C13" s="2" t="s">
        <v>84</v>
      </c>
      <c r="D13" s="2" t="s">
        <v>85</v>
      </c>
      <c r="E13" s="2" t="s">
        <v>86</v>
      </c>
      <c r="F13" s="4">
        <v>0</v>
      </c>
      <c r="G13" s="4">
        <v>1</v>
      </c>
      <c r="H13" s="5">
        <f t="shared" si="0"/>
        <v>0</v>
      </c>
      <c r="I13" s="4" t="s">
        <v>87</v>
      </c>
    </row>
    <row r="14" ht="252" spans="1:9">
      <c r="A14" s="2">
        <v>13</v>
      </c>
      <c r="B14" s="2" t="s">
        <v>88</v>
      </c>
      <c r="C14" s="2" t="s">
        <v>89</v>
      </c>
      <c r="D14" s="2" t="s">
        <v>90</v>
      </c>
      <c r="E14" s="2" t="s">
        <v>91</v>
      </c>
      <c r="F14" s="4">
        <v>1</v>
      </c>
      <c r="G14" s="4">
        <v>1</v>
      </c>
      <c r="H14" s="5">
        <f t="shared" si="0"/>
        <v>1</v>
      </c>
      <c r="I14" s="4"/>
    </row>
    <row r="15" ht="252" spans="1:9">
      <c r="A15" s="2">
        <v>14</v>
      </c>
      <c r="B15" s="2" t="s">
        <v>92</v>
      </c>
      <c r="C15" s="2" t="s">
        <v>93</v>
      </c>
      <c r="D15" s="2" t="s">
        <v>94</v>
      </c>
      <c r="E15" s="2" t="s">
        <v>95</v>
      </c>
      <c r="F15" s="4">
        <v>0</v>
      </c>
      <c r="G15" s="4">
        <v>1</v>
      </c>
      <c r="H15" s="5">
        <f t="shared" si="0"/>
        <v>0</v>
      </c>
      <c r="I15" s="4" t="s">
        <v>96</v>
      </c>
    </row>
    <row r="16" ht="252" spans="1:9">
      <c r="A16" s="2">
        <v>15</v>
      </c>
      <c r="B16" s="2" t="s">
        <v>97</v>
      </c>
      <c r="C16" s="2" t="s">
        <v>57</v>
      </c>
      <c r="D16" s="2" t="s">
        <v>98</v>
      </c>
      <c r="E16" s="2" t="s">
        <v>99</v>
      </c>
      <c r="F16" s="4">
        <v>1</v>
      </c>
      <c r="G16" s="4">
        <v>1</v>
      </c>
      <c r="H16" s="5">
        <f t="shared" si="0"/>
        <v>1</v>
      </c>
      <c r="I16" s="4" t="s">
        <v>1</v>
      </c>
    </row>
    <row r="17" ht="236" spans="1:9">
      <c r="A17" s="2">
        <v>16</v>
      </c>
      <c r="B17" s="2" t="s">
        <v>100</v>
      </c>
      <c r="C17" s="2" t="s">
        <v>101</v>
      </c>
      <c r="D17" s="2" t="s">
        <v>102</v>
      </c>
      <c r="E17" s="2" t="s">
        <v>103</v>
      </c>
      <c r="F17" s="4">
        <v>1</v>
      </c>
      <c r="G17" s="4">
        <v>1</v>
      </c>
      <c r="H17" s="5">
        <f t="shared" si="0"/>
        <v>1</v>
      </c>
      <c r="I17" s="4" t="s">
        <v>1</v>
      </c>
    </row>
    <row r="18" ht="185" spans="1:9">
      <c r="A18" s="2">
        <v>17</v>
      </c>
      <c r="B18" s="2" t="s">
        <v>104</v>
      </c>
      <c r="C18" s="2" t="s">
        <v>35</v>
      </c>
      <c r="D18" s="2" t="s">
        <v>105</v>
      </c>
      <c r="E18" s="2" t="s">
        <v>106</v>
      </c>
      <c r="F18" s="4">
        <v>0</v>
      </c>
      <c r="G18" s="4">
        <v>1</v>
      </c>
      <c r="H18" s="5">
        <f t="shared" si="0"/>
        <v>0</v>
      </c>
      <c r="I18" s="4" t="s">
        <v>87</v>
      </c>
    </row>
    <row r="19" ht="269" spans="1:9">
      <c r="A19" s="2">
        <v>18</v>
      </c>
      <c r="B19" s="2" t="s">
        <v>107</v>
      </c>
      <c r="C19" s="2" t="s">
        <v>108</v>
      </c>
      <c r="D19" s="2" t="s">
        <v>109</v>
      </c>
      <c r="E19" s="2" t="s">
        <v>110</v>
      </c>
      <c r="F19" s="4">
        <v>0</v>
      </c>
      <c r="G19" s="4">
        <v>1</v>
      </c>
      <c r="H19" s="5">
        <f t="shared" si="0"/>
        <v>0</v>
      </c>
      <c r="I19" s="6" t="s">
        <v>111</v>
      </c>
    </row>
    <row r="20" ht="252" spans="1:9">
      <c r="A20" s="2">
        <v>19</v>
      </c>
      <c r="B20" s="2" t="s">
        <v>112</v>
      </c>
      <c r="C20" s="2" t="s">
        <v>57</v>
      </c>
      <c r="D20" s="2" t="s">
        <v>113</v>
      </c>
      <c r="E20" s="2" t="s">
        <v>114</v>
      </c>
      <c r="F20" s="4">
        <v>1</v>
      </c>
      <c r="G20" s="4">
        <v>1</v>
      </c>
      <c r="H20" s="5">
        <f t="shared" si="0"/>
        <v>1</v>
      </c>
      <c r="I20" s="4" t="s">
        <v>1</v>
      </c>
    </row>
    <row r="21" ht="303" spans="1:9">
      <c r="A21" s="2">
        <v>20</v>
      </c>
      <c r="B21" s="2" t="s">
        <v>115</v>
      </c>
      <c r="C21" s="2" t="s">
        <v>116</v>
      </c>
      <c r="D21" s="2" t="s">
        <v>117</v>
      </c>
      <c r="E21" s="2" t="s">
        <v>118</v>
      </c>
      <c r="F21" s="4">
        <v>1</v>
      </c>
      <c r="G21" s="4">
        <v>1</v>
      </c>
      <c r="H21" s="5">
        <f t="shared" si="0"/>
        <v>1</v>
      </c>
      <c r="I21" s="4" t="s">
        <v>1</v>
      </c>
    </row>
  </sheetData>
  <dataValidations count="1">
    <dataValidation type="list" sqref="F2:G6 F7:G21">
      <formula1>"1,0"</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评分说明</vt:lpstr>
      <vt:lpstr>评分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LZY.</cp:lastModifiedBy>
  <dcterms:created xsi:type="dcterms:W3CDTF">2026-09-28T12:17:00Z</dcterms:created>
  <dcterms:modified xsi:type="dcterms:W3CDTF">2026-09-28T18:06:00Z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2E08C51277E208CE083CBA6AD21CB9DF_42</vt:lpwstr>
  </property>
</Properties>
</file>